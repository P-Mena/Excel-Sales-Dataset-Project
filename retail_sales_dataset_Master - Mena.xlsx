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0" documentId="8_{F3656E5C-8177-47C0-95F7-A1CC47D2A2FF}" xr6:coauthVersionLast="47" xr6:coauthVersionMax="47" xr10:uidLastSave="{00000000-0000-0000-0000-000000000000}"/>
  <bookViews>
    <workbookView xWindow="-28920" yWindow="-1530" windowWidth="29040" windowHeight="16440" firstSheet="4" activeTab="4" xr2:uid="{00000000-000D-0000-FFFF-FFFF00000000}"/>
  </bookViews>
  <sheets>
    <sheet name="Sheet1" sheetId="4" r:id="rId1"/>
    <sheet name="Detail1" sheetId="6" state="hidden" r:id="rId2"/>
    <sheet name="Detail2" sheetId="7" state="hidden" r:id="rId3"/>
    <sheet name="Sheet2" sheetId="8" r:id="rId4"/>
    <sheet name="retail_sales_dataset" sheetId="1" r:id="rId5"/>
    <sheet name="Transactions" sheetId="2" r:id="rId6"/>
    <sheet name="Day 2 Task 2" sheetId="3" r:id="rId7"/>
  </sheets>
  <definedNames>
    <definedName name="_xlnm._FilterDatabase" localSheetId="4" hidden="1">retail_sales_dataset!$K$1:$K$1001</definedName>
    <definedName name="_xlnm._FilterDatabase" localSheetId="6" hidden="1">'Day 2 Task 2'!$A$1:$F$11</definedName>
    <definedName name="_xlcn.WorksheetConnection_retail_sales_dataset.xlsxTable11" hidden="1">retail_sales_dataset!$A$1:$N$1001</definedName>
    <definedName name="Slicer_Gender">#N/A</definedName>
    <definedName name="Slicer_Gender1">#N/A</definedName>
    <definedName name="Slicer_Generation">#N/A</definedName>
    <definedName name="Slicer_Product_Category">#N/A</definedName>
    <definedName name="Slicer_Product_Category1">#N/A</definedName>
  </definedNames>
  <calcPr calcId="191028"/>
  <pivotCaches>
    <pivotCache cacheId="1641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F5" i="3"/>
  <c r="F6" i="3"/>
  <c r="F7" i="3"/>
  <c r="F8" i="3"/>
  <c r="F9" i="3"/>
  <c r="F10" i="3"/>
  <c r="F11" i="3"/>
  <c r="F3" i="3"/>
  <c r="F2" i="3"/>
  <c r="E3" i="3"/>
  <c r="E4" i="3"/>
  <c r="E5" i="3"/>
  <c r="E6" i="3"/>
  <c r="E7" i="3"/>
  <c r="E8" i="3"/>
  <c r="E9" i="3"/>
  <c r="E10" i="3"/>
  <c r="E11" i="3"/>
  <c r="E2" i="3"/>
  <c r="R17" i="1"/>
  <c r="O10" i="1"/>
  <c r="C2" i="2" a="1"/>
  <c r="C2" i="2"/>
  <c r="C3" i="2" a="1"/>
  <c r="C3" i="2"/>
  <c r="C4" i="2" a="1"/>
  <c r="C4" i="2"/>
  <c r="C5" i="2" a="1"/>
  <c r="C5" i="2"/>
  <c r="C6" i="2" a="1"/>
  <c r="C6" i="2"/>
  <c r="C7" i="2" a="1"/>
  <c r="C7" i="2"/>
  <c r="C8" i="2" a="1"/>
  <c r="C8" i="2"/>
  <c r="C9" i="2" a="1"/>
  <c r="C9" i="2"/>
  <c r="C10" i="2" a="1"/>
  <c r="C10" i="2"/>
  <c r="C2" i="1"/>
  <c r="B3" i="2" a="1"/>
  <c r="B3" i="2"/>
  <c r="D3" i="2" s="1"/>
  <c r="B4" i="2" a="1"/>
  <c r="B4" i="2"/>
  <c r="D4" i="2" s="1"/>
  <c r="B5" i="2" a="1"/>
  <c r="B5" i="2"/>
  <c r="D5" i="2" s="1"/>
  <c r="B6" i="2" a="1"/>
  <c r="B6" i="2"/>
  <c r="D6" i="2" s="1"/>
  <c r="B7" i="2" a="1"/>
  <c r="B7" i="2"/>
  <c r="D7" i="2" s="1"/>
  <c r="B8" i="2" a="1"/>
  <c r="B8" i="2"/>
  <c r="D8" i="2" s="1"/>
  <c r="B9" i="2" a="1"/>
  <c r="B9" i="2"/>
  <c r="D9" i="2" s="1"/>
  <c r="B10" i="2" a="1"/>
  <c r="B10" i="2"/>
  <c r="D10" i="2" s="1"/>
  <c r="B2" i="2" a="1"/>
  <c r="B2" i="2"/>
  <c r="D2" i="2" s="1"/>
  <c r="J3" i="1" a="1"/>
  <c r="J3" i="1"/>
  <c r="J4" i="1" a="1"/>
  <c r="J4" i="1"/>
  <c r="J5" i="1" a="1"/>
  <c r="J5" i="1"/>
  <c r="J6" i="1" a="1"/>
  <c r="J6" i="1"/>
  <c r="J7" i="1" a="1"/>
  <c r="J7" i="1"/>
  <c r="J8" i="1" a="1"/>
  <c r="J8" i="1"/>
  <c r="J9" i="1" a="1"/>
  <c r="J9" i="1"/>
  <c r="J10" i="1" a="1"/>
  <c r="J10" i="1"/>
  <c r="J11" i="1" a="1"/>
  <c r="J11" i="1"/>
  <c r="J12" i="1" a="1"/>
  <c r="J12" i="1"/>
  <c r="J13" i="1" a="1"/>
  <c r="J13" i="1"/>
  <c r="J14" i="1" a="1"/>
  <c r="J14" i="1"/>
  <c r="J15" i="1" a="1"/>
  <c r="J15" i="1"/>
  <c r="J16" i="1" a="1"/>
  <c r="J16" i="1"/>
  <c r="J17" i="1" a="1"/>
  <c r="J17" i="1"/>
  <c r="J18" i="1" a="1"/>
  <c r="J18" i="1"/>
  <c r="J19" i="1" a="1"/>
  <c r="J19" i="1"/>
  <c r="J20" i="1" a="1"/>
  <c r="J20" i="1"/>
  <c r="J21" i="1" a="1"/>
  <c r="J21" i="1"/>
  <c r="J22" i="1" a="1"/>
  <c r="J22" i="1"/>
  <c r="J23" i="1" a="1"/>
  <c r="J23" i="1"/>
  <c r="J24" i="1" a="1"/>
  <c r="J24" i="1"/>
  <c r="J25" i="1" a="1"/>
  <c r="J25" i="1"/>
  <c r="J26" i="1" a="1"/>
  <c r="J26" i="1"/>
  <c r="J27" i="1" a="1"/>
  <c r="J27" i="1"/>
  <c r="J28" i="1" a="1"/>
  <c r="J28" i="1"/>
  <c r="J29" i="1" a="1"/>
  <c r="J29" i="1"/>
  <c r="J30" i="1" a="1"/>
  <c r="J30" i="1"/>
  <c r="J31" i="1" a="1"/>
  <c r="J31" i="1"/>
  <c r="J32" i="1" a="1"/>
  <c r="J32" i="1"/>
  <c r="J33" i="1" a="1"/>
  <c r="J33" i="1"/>
  <c r="J34" i="1" a="1"/>
  <c r="J34" i="1"/>
  <c r="J35" i="1" a="1"/>
  <c r="J35" i="1"/>
  <c r="J36" i="1" a="1"/>
  <c r="J36" i="1"/>
  <c r="J37" i="1" a="1"/>
  <c r="J37" i="1"/>
  <c r="J38" i="1" a="1"/>
  <c r="J38" i="1"/>
  <c r="J39" i="1" a="1"/>
  <c r="J39" i="1"/>
  <c r="J40" i="1" a="1"/>
  <c r="J40" i="1"/>
  <c r="J41" i="1" a="1"/>
  <c r="J41" i="1"/>
  <c r="J42" i="1" a="1"/>
  <c r="J42" i="1"/>
  <c r="J43" i="1" a="1"/>
  <c r="J43" i="1"/>
  <c r="J44" i="1" a="1"/>
  <c r="J44" i="1"/>
  <c r="J45" i="1" a="1"/>
  <c r="J45" i="1"/>
  <c r="J46" i="1" a="1"/>
  <c r="J46" i="1"/>
  <c r="J47" i="1" a="1"/>
  <c r="J47" i="1"/>
  <c r="J48" i="1" a="1"/>
  <c r="J48" i="1"/>
  <c r="J49" i="1" a="1"/>
  <c r="J49" i="1"/>
  <c r="J50" i="1" a="1"/>
  <c r="J50" i="1"/>
  <c r="J51" i="1" a="1"/>
  <c r="J51" i="1"/>
  <c r="J52" i="1" a="1"/>
  <c r="J52" i="1"/>
  <c r="J53" i="1" a="1"/>
  <c r="J53" i="1"/>
  <c r="J54" i="1" a="1"/>
  <c r="J54" i="1"/>
  <c r="J55" i="1" a="1"/>
  <c r="J55" i="1"/>
  <c r="J56" i="1" a="1"/>
  <c r="J56" i="1"/>
  <c r="J57" i="1" a="1"/>
  <c r="J57" i="1"/>
  <c r="J58" i="1" a="1"/>
  <c r="J58" i="1"/>
  <c r="J59" i="1" a="1"/>
  <c r="J59" i="1"/>
  <c r="J60" i="1" a="1"/>
  <c r="J60" i="1"/>
  <c r="J61" i="1" a="1"/>
  <c r="J61" i="1"/>
  <c r="J62" i="1" a="1"/>
  <c r="J62" i="1"/>
  <c r="J63" i="1" a="1"/>
  <c r="J63" i="1"/>
  <c r="J64" i="1" a="1"/>
  <c r="J64" i="1"/>
  <c r="J65" i="1" a="1"/>
  <c r="J65" i="1"/>
  <c r="J66" i="1" a="1"/>
  <c r="J66" i="1"/>
  <c r="J67" i="1" a="1"/>
  <c r="J67" i="1"/>
  <c r="J68" i="1" a="1"/>
  <c r="J68" i="1"/>
  <c r="J69" i="1" a="1"/>
  <c r="J69" i="1"/>
  <c r="J70" i="1" a="1"/>
  <c r="J70" i="1"/>
  <c r="J71" i="1" a="1"/>
  <c r="J71" i="1"/>
  <c r="J72" i="1" a="1"/>
  <c r="J72" i="1"/>
  <c r="J73" i="1" a="1"/>
  <c r="J73" i="1"/>
  <c r="J74" i="1" a="1"/>
  <c r="J74" i="1"/>
  <c r="J75" i="1" a="1"/>
  <c r="J75" i="1"/>
  <c r="J76" i="1" a="1"/>
  <c r="J76" i="1"/>
  <c r="J77" i="1" a="1"/>
  <c r="J77" i="1"/>
  <c r="J78" i="1" a="1"/>
  <c r="J78" i="1"/>
  <c r="J79" i="1" a="1"/>
  <c r="J79" i="1"/>
  <c r="J80" i="1" a="1"/>
  <c r="J80" i="1"/>
  <c r="J81" i="1" a="1"/>
  <c r="J81" i="1"/>
  <c r="J82" i="1" a="1"/>
  <c r="J82" i="1"/>
  <c r="J83" i="1" a="1"/>
  <c r="J83" i="1"/>
  <c r="J84" i="1" a="1"/>
  <c r="J84" i="1"/>
  <c r="J85" i="1" a="1"/>
  <c r="J85" i="1"/>
  <c r="J86" i="1" a="1"/>
  <c r="J86" i="1"/>
  <c r="J87" i="1" a="1"/>
  <c r="J87" i="1"/>
  <c r="J88" i="1" a="1"/>
  <c r="J88" i="1"/>
  <c r="J89" i="1" a="1"/>
  <c r="J89" i="1"/>
  <c r="J90" i="1" a="1"/>
  <c r="J90" i="1"/>
  <c r="J91" i="1" a="1"/>
  <c r="J91" i="1"/>
  <c r="J92" i="1" a="1"/>
  <c r="J92" i="1"/>
  <c r="J93" i="1" a="1"/>
  <c r="J93" i="1"/>
  <c r="J94" i="1" a="1"/>
  <c r="J94" i="1"/>
  <c r="J95" i="1" a="1"/>
  <c r="J95" i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/>
  <c r="J107" i="1" a="1"/>
  <c r="J107" i="1"/>
  <c r="J108" i="1" a="1"/>
  <c r="J108" i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/>
  <c r="J119" i="1" a="1"/>
  <c r="J119" i="1"/>
  <c r="J120" i="1" a="1"/>
  <c r="J120" i="1"/>
  <c r="J121" i="1" a="1"/>
  <c r="J121" i="1"/>
  <c r="J122" i="1" a="1"/>
  <c r="J122" i="1"/>
  <c r="J123" i="1" a="1"/>
  <c r="J123" i="1"/>
  <c r="J124" i="1" a="1"/>
  <c r="J124" i="1"/>
  <c r="J125" i="1" a="1"/>
  <c r="J125" i="1"/>
  <c r="J126" i="1" a="1"/>
  <c r="J126" i="1"/>
  <c r="J127" i="1" a="1"/>
  <c r="J127" i="1"/>
  <c r="J128" i="1" a="1"/>
  <c r="J128" i="1"/>
  <c r="J129" i="1" a="1"/>
  <c r="J129" i="1"/>
  <c r="J130" i="1" a="1"/>
  <c r="J130" i="1"/>
  <c r="J131" i="1" a="1"/>
  <c r="J131" i="1"/>
  <c r="J132" i="1" a="1"/>
  <c r="J132" i="1"/>
  <c r="J133" i="1" a="1"/>
  <c r="J133" i="1"/>
  <c r="J134" i="1" a="1"/>
  <c r="J134" i="1"/>
  <c r="J135" i="1" a="1"/>
  <c r="J135" i="1"/>
  <c r="J136" i="1" a="1"/>
  <c r="J136" i="1"/>
  <c r="J137" i="1" a="1"/>
  <c r="J137" i="1"/>
  <c r="J138" i="1" a="1"/>
  <c r="J138" i="1"/>
  <c r="J139" i="1" a="1"/>
  <c r="J139" i="1"/>
  <c r="J140" i="1" a="1"/>
  <c r="J140" i="1"/>
  <c r="J141" i="1" a="1"/>
  <c r="J141" i="1"/>
  <c r="J142" i="1" a="1"/>
  <c r="J142" i="1"/>
  <c r="J143" i="1" a="1"/>
  <c r="J143" i="1"/>
  <c r="J144" i="1" a="1"/>
  <c r="J144" i="1"/>
  <c r="J145" i="1" a="1"/>
  <c r="J145" i="1"/>
  <c r="J146" i="1" a="1"/>
  <c r="J146" i="1"/>
  <c r="J147" i="1" a="1"/>
  <c r="J147" i="1"/>
  <c r="J148" i="1" a="1"/>
  <c r="J148" i="1"/>
  <c r="J149" i="1" a="1"/>
  <c r="J149" i="1"/>
  <c r="J150" i="1" a="1"/>
  <c r="J150" i="1"/>
  <c r="J151" i="1" a="1"/>
  <c r="J151" i="1"/>
  <c r="J152" i="1" a="1"/>
  <c r="J152" i="1"/>
  <c r="J153" i="1" a="1"/>
  <c r="J153" i="1"/>
  <c r="J154" i="1" a="1"/>
  <c r="J154" i="1"/>
  <c r="J155" i="1" a="1"/>
  <c r="J155" i="1"/>
  <c r="J156" i="1" a="1"/>
  <c r="J156" i="1"/>
  <c r="J157" i="1" a="1"/>
  <c r="J157" i="1"/>
  <c r="J158" i="1" a="1"/>
  <c r="J158" i="1"/>
  <c r="J159" i="1" a="1"/>
  <c r="J159" i="1"/>
  <c r="J160" i="1" a="1"/>
  <c r="J160" i="1"/>
  <c r="J161" i="1" a="1"/>
  <c r="J161" i="1"/>
  <c r="J162" i="1" a="1"/>
  <c r="J162" i="1"/>
  <c r="J163" i="1" a="1"/>
  <c r="J163" i="1"/>
  <c r="J164" i="1" a="1"/>
  <c r="J164" i="1"/>
  <c r="J165" i="1" a="1"/>
  <c r="J165" i="1"/>
  <c r="J166" i="1" a="1"/>
  <c r="J166" i="1"/>
  <c r="J167" i="1" a="1"/>
  <c r="J167" i="1"/>
  <c r="J168" i="1" a="1"/>
  <c r="J168" i="1"/>
  <c r="J169" i="1" a="1"/>
  <c r="J169" i="1"/>
  <c r="J170" i="1" a="1"/>
  <c r="J170" i="1"/>
  <c r="J171" i="1" a="1"/>
  <c r="J171" i="1"/>
  <c r="J172" i="1" a="1"/>
  <c r="J172" i="1"/>
  <c r="J173" i="1" a="1"/>
  <c r="J173" i="1"/>
  <c r="J174" i="1" a="1"/>
  <c r="J174" i="1"/>
  <c r="J175" i="1" a="1"/>
  <c r="J175" i="1"/>
  <c r="J176" i="1" a="1"/>
  <c r="J176" i="1"/>
  <c r="J177" i="1" a="1"/>
  <c r="J177" i="1"/>
  <c r="J178" i="1" a="1"/>
  <c r="J178" i="1"/>
  <c r="J179" i="1" a="1"/>
  <c r="J179" i="1"/>
  <c r="J180" i="1" a="1"/>
  <c r="J180" i="1"/>
  <c r="J181" i="1" a="1"/>
  <c r="J181" i="1"/>
  <c r="J182" i="1" a="1"/>
  <c r="J182" i="1"/>
  <c r="J183" i="1" a="1"/>
  <c r="J183" i="1"/>
  <c r="J184" i="1" a="1"/>
  <c r="J184" i="1"/>
  <c r="J185" i="1" a="1"/>
  <c r="J185" i="1"/>
  <c r="J186" i="1" a="1"/>
  <c r="J186" i="1"/>
  <c r="J187" i="1" a="1"/>
  <c r="J187" i="1"/>
  <c r="J188" i="1" a="1"/>
  <c r="J188" i="1"/>
  <c r="J189" i="1" a="1"/>
  <c r="J189" i="1"/>
  <c r="J190" i="1" a="1"/>
  <c r="J190" i="1"/>
  <c r="J191" i="1" a="1"/>
  <c r="J191" i="1"/>
  <c r="J192" i="1" a="1"/>
  <c r="J192" i="1"/>
  <c r="J193" i="1" a="1"/>
  <c r="J193" i="1"/>
  <c r="J194" i="1" a="1"/>
  <c r="J194" i="1"/>
  <c r="J195" i="1" a="1"/>
  <c r="J195" i="1"/>
  <c r="J196" i="1" a="1"/>
  <c r="J196" i="1"/>
  <c r="J197" i="1" a="1"/>
  <c r="J197" i="1"/>
  <c r="J198" i="1" a="1"/>
  <c r="J198" i="1"/>
  <c r="J199" i="1" a="1"/>
  <c r="J199" i="1"/>
  <c r="J200" i="1" a="1"/>
  <c r="J200" i="1"/>
  <c r="J201" i="1" a="1"/>
  <c r="J201" i="1"/>
  <c r="J202" i="1" a="1"/>
  <c r="J202" i="1"/>
  <c r="J203" i="1" a="1"/>
  <c r="J203" i="1"/>
  <c r="J204" i="1" a="1"/>
  <c r="J204" i="1"/>
  <c r="J205" i="1" a="1"/>
  <c r="J205" i="1"/>
  <c r="J206" i="1" a="1"/>
  <c r="J206" i="1"/>
  <c r="J207" i="1" a="1"/>
  <c r="J207" i="1"/>
  <c r="J208" i="1" a="1"/>
  <c r="J208" i="1"/>
  <c r="J209" i="1" a="1"/>
  <c r="J209" i="1"/>
  <c r="J210" i="1" a="1"/>
  <c r="J210" i="1"/>
  <c r="J211" i="1" a="1"/>
  <c r="J211" i="1"/>
  <c r="J212" i="1" a="1"/>
  <c r="J212" i="1"/>
  <c r="J213" i="1" a="1"/>
  <c r="J213" i="1"/>
  <c r="J214" i="1" a="1"/>
  <c r="J214" i="1"/>
  <c r="J215" i="1" a="1"/>
  <c r="J215" i="1"/>
  <c r="J216" i="1" a="1"/>
  <c r="J216" i="1"/>
  <c r="J217" i="1" a="1"/>
  <c r="J217" i="1"/>
  <c r="J218" i="1" a="1"/>
  <c r="J218" i="1"/>
  <c r="J219" i="1" a="1"/>
  <c r="J219" i="1"/>
  <c r="J220" i="1" a="1"/>
  <c r="J220" i="1"/>
  <c r="J221" i="1" a="1"/>
  <c r="J221" i="1"/>
  <c r="J222" i="1" a="1"/>
  <c r="J222" i="1"/>
  <c r="J223" i="1" a="1"/>
  <c r="J223" i="1"/>
  <c r="J224" i="1" a="1"/>
  <c r="J224" i="1"/>
  <c r="J225" i="1" a="1"/>
  <c r="J225" i="1"/>
  <c r="J226" i="1" a="1"/>
  <c r="J226" i="1"/>
  <c r="J227" i="1" a="1"/>
  <c r="J227" i="1"/>
  <c r="J228" i="1" a="1"/>
  <c r="J228" i="1"/>
  <c r="J229" i="1" a="1"/>
  <c r="J229" i="1"/>
  <c r="J230" i="1" a="1"/>
  <c r="J230" i="1"/>
  <c r="J231" i="1" a="1"/>
  <c r="J231" i="1"/>
  <c r="J232" i="1" a="1"/>
  <c r="J232" i="1"/>
  <c r="J233" i="1" a="1"/>
  <c r="J233" i="1"/>
  <c r="J234" i="1" a="1"/>
  <c r="J234" i="1"/>
  <c r="J235" i="1" a="1"/>
  <c r="J235" i="1"/>
  <c r="J236" i="1" a="1"/>
  <c r="J236" i="1"/>
  <c r="J237" i="1" a="1"/>
  <c r="J237" i="1"/>
  <c r="J238" i="1" a="1"/>
  <c r="J238" i="1"/>
  <c r="J239" i="1" a="1"/>
  <c r="J239" i="1"/>
  <c r="J240" i="1" a="1"/>
  <c r="J240" i="1"/>
  <c r="J241" i="1" a="1"/>
  <c r="J241" i="1"/>
  <c r="J242" i="1" a="1"/>
  <c r="J242" i="1"/>
  <c r="J243" i="1" a="1"/>
  <c r="J243" i="1"/>
  <c r="J244" i="1" a="1"/>
  <c r="J244" i="1"/>
  <c r="J245" i="1" a="1"/>
  <c r="J245" i="1"/>
  <c r="J246" i="1" a="1"/>
  <c r="J246" i="1"/>
  <c r="J247" i="1" a="1"/>
  <c r="J247" i="1"/>
  <c r="J248" i="1" a="1"/>
  <c r="J248" i="1"/>
  <c r="J249" i="1" a="1"/>
  <c r="J249" i="1"/>
  <c r="J250" i="1" a="1"/>
  <c r="J250" i="1"/>
  <c r="J251" i="1" a="1"/>
  <c r="J251" i="1"/>
  <c r="J252" i="1" a="1"/>
  <c r="J252" i="1"/>
  <c r="J253" i="1" a="1"/>
  <c r="J253" i="1"/>
  <c r="J254" i="1" a="1"/>
  <c r="J254" i="1"/>
  <c r="J255" i="1" a="1"/>
  <c r="J255" i="1"/>
  <c r="J256" i="1" a="1"/>
  <c r="J256" i="1"/>
  <c r="J257" i="1" a="1"/>
  <c r="J257" i="1"/>
  <c r="J258" i="1" a="1"/>
  <c r="J258" i="1"/>
  <c r="J259" i="1" a="1"/>
  <c r="J259" i="1"/>
  <c r="J260" i="1" a="1"/>
  <c r="J260" i="1"/>
  <c r="J261" i="1" a="1"/>
  <c r="J261" i="1"/>
  <c r="J262" i="1" a="1"/>
  <c r="J262" i="1"/>
  <c r="J263" i="1" a="1"/>
  <c r="J263" i="1"/>
  <c r="J264" i="1" a="1"/>
  <c r="J264" i="1"/>
  <c r="J265" i="1" a="1"/>
  <c r="J265" i="1"/>
  <c r="J266" i="1" a="1"/>
  <c r="J266" i="1"/>
  <c r="J267" i="1" a="1"/>
  <c r="J267" i="1"/>
  <c r="J268" i="1" a="1"/>
  <c r="J268" i="1"/>
  <c r="J269" i="1" a="1"/>
  <c r="J269" i="1"/>
  <c r="J270" i="1" a="1"/>
  <c r="J270" i="1"/>
  <c r="J271" i="1" a="1"/>
  <c r="J271" i="1"/>
  <c r="J272" i="1" a="1"/>
  <c r="J272" i="1"/>
  <c r="J273" i="1" a="1"/>
  <c r="J273" i="1"/>
  <c r="J274" i="1" a="1"/>
  <c r="J274" i="1"/>
  <c r="J275" i="1" a="1"/>
  <c r="J275" i="1"/>
  <c r="J276" i="1" a="1"/>
  <c r="J276" i="1"/>
  <c r="J277" i="1" a="1"/>
  <c r="J277" i="1"/>
  <c r="J278" i="1" a="1"/>
  <c r="J278" i="1"/>
  <c r="J279" i="1" a="1"/>
  <c r="J279" i="1"/>
  <c r="J280" i="1" a="1"/>
  <c r="J280" i="1"/>
  <c r="J281" i="1" a="1"/>
  <c r="J281" i="1"/>
  <c r="J282" i="1" a="1"/>
  <c r="J282" i="1"/>
  <c r="J283" i="1" a="1"/>
  <c r="J283" i="1"/>
  <c r="J284" i="1" a="1"/>
  <c r="J284" i="1"/>
  <c r="J285" i="1" a="1"/>
  <c r="J285" i="1"/>
  <c r="J286" i="1" a="1"/>
  <c r="J286" i="1"/>
  <c r="J287" i="1" a="1"/>
  <c r="J287" i="1"/>
  <c r="J288" i="1" a="1"/>
  <c r="J288" i="1"/>
  <c r="J289" i="1" a="1"/>
  <c r="J289" i="1"/>
  <c r="J290" i="1" a="1"/>
  <c r="J290" i="1"/>
  <c r="J291" i="1" a="1"/>
  <c r="J291" i="1"/>
  <c r="J292" i="1" a="1"/>
  <c r="J292" i="1"/>
  <c r="J293" i="1" a="1"/>
  <c r="J293" i="1"/>
  <c r="J294" i="1" a="1"/>
  <c r="J294" i="1"/>
  <c r="J295" i="1" a="1"/>
  <c r="J295" i="1"/>
  <c r="J296" i="1" a="1"/>
  <c r="J296" i="1"/>
  <c r="J297" i="1" a="1"/>
  <c r="J297" i="1"/>
  <c r="J298" i="1" a="1"/>
  <c r="J298" i="1"/>
  <c r="J299" i="1" a="1"/>
  <c r="J299" i="1"/>
  <c r="J300" i="1" a="1"/>
  <c r="J300" i="1"/>
  <c r="J301" i="1" a="1"/>
  <c r="J301" i="1"/>
  <c r="J302" i="1" a="1"/>
  <c r="J302" i="1"/>
  <c r="J303" i="1" a="1"/>
  <c r="J303" i="1"/>
  <c r="J304" i="1" a="1"/>
  <c r="J304" i="1"/>
  <c r="J305" i="1" a="1"/>
  <c r="J305" i="1"/>
  <c r="J306" i="1" a="1"/>
  <c r="J306" i="1"/>
  <c r="J307" i="1" a="1"/>
  <c r="J307" i="1"/>
  <c r="J308" i="1" a="1"/>
  <c r="J308" i="1"/>
  <c r="J309" i="1" a="1"/>
  <c r="J309" i="1"/>
  <c r="J310" i="1" a="1"/>
  <c r="J310" i="1"/>
  <c r="J311" i="1" a="1"/>
  <c r="J311" i="1"/>
  <c r="J312" i="1" a="1"/>
  <c r="J312" i="1"/>
  <c r="J313" i="1" a="1"/>
  <c r="J313" i="1"/>
  <c r="J314" i="1" a="1"/>
  <c r="J314" i="1"/>
  <c r="J315" i="1" a="1"/>
  <c r="J315" i="1"/>
  <c r="J316" i="1" a="1"/>
  <c r="J316" i="1"/>
  <c r="J317" i="1" a="1"/>
  <c r="J317" i="1"/>
  <c r="J318" i="1" a="1"/>
  <c r="J318" i="1"/>
  <c r="J319" i="1" a="1"/>
  <c r="J319" i="1"/>
  <c r="J320" i="1" a="1"/>
  <c r="J320" i="1"/>
  <c r="J321" i="1" a="1"/>
  <c r="J321" i="1"/>
  <c r="J322" i="1" a="1"/>
  <c r="J322" i="1"/>
  <c r="J323" i="1" a="1"/>
  <c r="J323" i="1"/>
  <c r="J324" i="1" a="1"/>
  <c r="J324" i="1"/>
  <c r="J325" i="1" a="1"/>
  <c r="J325" i="1"/>
  <c r="J326" i="1" a="1"/>
  <c r="J326" i="1"/>
  <c r="J327" i="1" a="1"/>
  <c r="J327" i="1"/>
  <c r="J328" i="1" a="1"/>
  <c r="J328" i="1"/>
  <c r="J329" i="1" a="1"/>
  <c r="J329" i="1"/>
  <c r="J330" i="1" a="1"/>
  <c r="J330" i="1"/>
  <c r="J331" i="1" a="1"/>
  <c r="J331" i="1"/>
  <c r="J332" i="1" a="1"/>
  <c r="J332" i="1"/>
  <c r="J333" i="1" a="1"/>
  <c r="J333" i="1"/>
  <c r="J334" i="1" a="1"/>
  <c r="J334" i="1"/>
  <c r="J335" i="1" a="1"/>
  <c r="J335" i="1"/>
  <c r="J336" i="1" a="1"/>
  <c r="J336" i="1"/>
  <c r="J337" i="1" a="1"/>
  <c r="J337" i="1"/>
  <c r="J338" i="1" a="1"/>
  <c r="J338" i="1"/>
  <c r="J339" i="1" a="1"/>
  <c r="J339" i="1"/>
  <c r="J340" i="1" a="1"/>
  <c r="J340" i="1"/>
  <c r="J341" i="1" a="1"/>
  <c r="J341" i="1"/>
  <c r="J342" i="1" a="1"/>
  <c r="J342" i="1"/>
  <c r="J343" i="1" a="1"/>
  <c r="J343" i="1"/>
  <c r="J344" i="1" a="1"/>
  <c r="J344" i="1"/>
  <c r="J345" i="1" a="1"/>
  <c r="J345" i="1"/>
  <c r="J346" i="1" a="1"/>
  <c r="J346" i="1"/>
  <c r="J347" i="1" a="1"/>
  <c r="J347" i="1"/>
  <c r="J348" i="1" a="1"/>
  <c r="J348" i="1"/>
  <c r="J349" i="1" a="1"/>
  <c r="J349" i="1"/>
  <c r="J350" i="1" a="1"/>
  <c r="J350" i="1"/>
  <c r="J351" i="1" a="1"/>
  <c r="J351" i="1"/>
  <c r="J352" i="1" a="1"/>
  <c r="J352" i="1"/>
  <c r="J353" i="1" a="1"/>
  <c r="J353" i="1"/>
  <c r="J354" i="1" a="1"/>
  <c r="J354" i="1"/>
  <c r="J355" i="1" a="1"/>
  <c r="J355" i="1"/>
  <c r="J356" i="1" a="1"/>
  <c r="J356" i="1"/>
  <c r="J357" i="1" a="1"/>
  <c r="J357" i="1"/>
  <c r="J358" i="1" a="1"/>
  <c r="J358" i="1"/>
  <c r="J359" i="1" a="1"/>
  <c r="J359" i="1"/>
  <c r="J360" i="1" a="1"/>
  <c r="J360" i="1"/>
  <c r="J361" i="1" a="1"/>
  <c r="J361" i="1"/>
  <c r="J362" i="1" a="1"/>
  <c r="J362" i="1"/>
  <c r="J363" i="1" a="1"/>
  <c r="J363" i="1"/>
  <c r="J364" i="1" a="1"/>
  <c r="J364" i="1"/>
  <c r="J365" i="1" a="1"/>
  <c r="J365" i="1"/>
  <c r="J366" i="1" a="1"/>
  <c r="J366" i="1"/>
  <c r="J367" i="1" a="1"/>
  <c r="J367" i="1"/>
  <c r="J368" i="1" a="1"/>
  <c r="J368" i="1"/>
  <c r="J369" i="1" a="1"/>
  <c r="J369" i="1"/>
  <c r="J370" i="1" a="1"/>
  <c r="J370" i="1"/>
  <c r="J371" i="1" a="1"/>
  <c r="J371" i="1"/>
  <c r="J372" i="1" a="1"/>
  <c r="J372" i="1"/>
  <c r="J373" i="1" a="1"/>
  <c r="J373" i="1"/>
  <c r="J374" i="1" a="1"/>
  <c r="J374" i="1"/>
  <c r="J375" i="1" a="1"/>
  <c r="J375" i="1"/>
  <c r="J376" i="1" a="1"/>
  <c r="J376" i="1"/>
  <c r="J377" i="1" a="1"/>
  <c r="J377" i="1"/>
  <c r="J378" i="1" a="1"/>
  <c r="J378" i="1"/>
  <c r="J379" i="1" a="1"/>
  <c r="J379" i="1"/>
  <c r="J380" i="1" a="1"/>
  <c r="J380" i="1"/>
  <c r="J381" i="1" a="1"/>
  <c r="J381" i="1"/>
  <c r="J382" i="1" a="1"/>
  <c r="J382" i="1"/>
  <c r="J383" i="1" a="1"/>
  <c r="J383" i="1"/>
  <c r="J384" i="1" a="1"/>
  <c r="J384" i="1"/>
  <c r="J385" i="1" a="1"/>
  <c r="J385" i="1"/>
  <c r="J386" i="1" a="1"/>
  <c r="J386" i="1"/>
  <c r="J387" i="1" a="1"/>
  <c r="J387" i="1"/>
  <c r="J388" i="1" a="1"/>
  <c r="J388" i="1"/>
  <c r="J389" i="1" a="1"/>
  <c r="J389" i="1"/>
  <c r="J390" i="1" a="1"/>
  <c r="J390" i="1"/>
  <c r="J391" i="1" a="1"/>
  <c r="J391" i="1"/>
  <c r="J392" i="1" a="1"/>
  <c r="J392" i="1"/>
  <c r="J393" i="1" a="1"/>
  <c r="J393" i="1"/>
  <c r="J394" i="1" a="1"/>
  <c r="J394" i="1"/>
  <c r="J395" i="1" a="1"/>
  <c r="J395" i="1"/>
  <c r="J396" i="1" a="1"/>
  <c r="J396" i="1"/>
  <c r="J397" i="1" a="1"/>
  <c r="J397" i="1"/>
  <c r="J398" i="1" a="1"/>
  <c r="J398" i="1"/>
  <c r="J399" i="1" a="1"/>
  <c r="J399" i="1"/>
  <c r="J400" i="1" a="1"/>
  <c r="J400" i="1"/>
  <c r="J401" i="1" a="1"/>
  <c r="J401" i="1"/>
  <c r="J402" i="1" a="1"/>
  <c r="J402" i="1"/>
  <c r="J403" i="1" a="1"/>
  <c r="J403" i="1"/>
  <c r="J404" i="1" a="1"/>
  <c r="J404" i="1"/>
  <c r="J405" i="1" a="1"/>
  <c r="J405" i="1"/>
  <c r="J406" i="1" a="1"/>
  <c r="J406" i="1"/>
  <c r="J407" i="1" a="1"/>
  <c r="J407" i="1"/>
  <c r="J408" i="1" a="1"/>
  <c r="J408" i="1"/>
  <c r="J409" i="1" a="1"/>
  <c r="J409" i="1"/>
  <c r="J410" i="1" a="1"/>
  <c r="J410" i="1"/>
  <c r="J411" i="1" a="1"/>
  <c r="J411" i="1"/>
  <c r="J412" i="1" a="1"/>
  <c r="J412" i="1"/>
  <c r="J413" i="1" a="1"/>
  <c r="J413" i="1"/>
  <c r="J414" i="1" a="1"/>
  <c r="J414" i="1"/>
  <c r="J415" i="1" a="1"/>
  <c r="J415" i="1"/>
  <c r="J416" i="1" a="1"/>
  <c r="J416" i="1"/>
  <c r="J417" i="1" a="1"/>
  <c r="J417" i="1"/>
  <c r="J418" i="1" a="1"/>
  <c r="J418" i="1"/>
  <c r="J419" i="1" a="1"/>
  <c r="J419" i="1"/>
  <c r="J420" i="1" a="1"/>
  <c r="J420" i="1"/>
  <c r="J421" i="1" a="1"/>
  <c r="J421" i="1"/>
  <c r="J422" i="1" a="1"/>
  <c r="J422" i="1"/>
  <c r="J423" i="1" a="1"/>
  <c r="J423" i="1"/>
  <c r="J424" i="1" a="1"/>
  <c r="J424" i="1"/>
  <c r="J425" i="1" a="1"/>
  <c r="J425" i="1"/>
  <c r="J426" i="1" a="1"/>
  <c r="J426" i="1"/>
  <c r="J427" i="1" a="1"/>
  <c r="J427" i="1"/>
  <c r="J428" i="1" a="1"/>
  <c r="J428" i="1"/>
  <c r="J429" i="1" a="1"/>
  <c r="J429" i="1"/>
  <c r="J430" i="1" a="1"/>
  <c r="J430" i="1"/>
  <c r="J431" i="1" a="1"/>
  <c r="J431" i="1"/>
  <c r="J432" i="1" a="1"/>
  <c r="J432" i="1"/>
  <c r="J433" i="1" a="1"/>
  <c r="J433" i="1"/>
  <c r="J434" i="1" a="1"/>
  <c r="J434" i="1"/>
  <c r="J435" i="1" a="1"/>
  <c r="J435" i="1"/>
  <c r="J436" i="1" a="1"/>
  <c r="J436" i="1"/>
  <c r="J437" i="1" a="1"/>
  <c r="J437" i="1"/>
  <c r="J438" i="1" a="1"/>
  <c r="J438" i="1"/>
  <c r="J439" i="1" a="1"/>
  <c r="J439" i="1"/>
  <c r="J440" i="1" a="1"/>
  <c r="J440" i="1"/>
  <c r="J441" i="1" a="1"/>
  <c r="J441" i="1"/>
  <c r="J442" i="1" a="1"/>
  <c r="J442" i="1"/>
  <c r="J443" i="1" a="1"/>
  <c r="J443" i="1"/>
  <c r="J444" i="1" a="1"/>
  <c r="J444" i="1"/>
  <c r="J445" i="1" a="1"/>
  <c r="J445" i="1"/>
  <c r="J446" i="1" a="1"/>
  <c r="J446" i="1"/>
  <c r="J447" i="1" a="1"/>
  <c r="J447" i="1"/>
  <c r="J448" i="1" a="1"/>
  <c r="J448" i="1"/>
  <c r="J449" i="1" a="1"/>
  <c r="J449" i="1"/>
  <c r="J450" i="1" a="1"/>
  <c r="J450" i="1"/>
  <c r="J451" i="1" a="1"/>
  <c r="J451" i="1"/>
  <c r="J452" i="1" a="1"/>
  <c r="J452" i="1"/>
  <c r="J453" i="1" a="1"/>
  <c r="J453" i="1"/>
  <c r="J454" i="1" a="1"/>
  <c r="J454" i="1"/>
  <c r="J455" i="1" a="1"/>
  <c r="J455" i="1"/>
  <c r="J456" i="1" a="1"/>
  <c r="J456" i="1"/>
  <c r="J457" i="1" a="1"/>
  <c r="J457" i="1"/>
  <c r="J458" i="1" a="1"/>
  <c r="J458" i="1"/>
  <c r="J459" i="1" a="1"/>
  <c r="J459" i="1"/>
  <c r="J460" i="1" a="1"/>
  <c r="J460" i="1"/>
  <c r="J461" i="1" a="1"/>
  <c r="J461" i="1"/>
  <c r="J462" i="1" a="1"/>
  <c r="J462" i="1"/>
  <c r="J463" i="1" a="1"/>
  <c r="J463" i="1"/>
  <c r="J464" i="1" a="1"/>
  <c r="J464" i="1"/>
  <c r="J465" i="1" a="1"/>
  <c r="J465" i="1"/>
  <c r="J466" i="1" a="1"/>
  <c r="J466" i="1"/>
  <c r="J467" i="1" a="1"/>
  <c r="J467" i="1"/>
  <c r="J468" i="1" a="1"/>
  <c r="J468" i="1"/>
  <c r="J469" i="1" a="1"/>
  <c r="J469" i="1"/>
  <c r="J470" i="1" a="1"/>
  <c r="J470" i="1"/>
  <c r="J471" i="1" a="1"/>
  <c r="J471" i="1"/>
  <c r="J472" i="1" a="1"/>
  <c r="J472" i="1"/>
  <c r="J473" i="1" a="1"/>
  <c r="J473" i="1"/>
  <c r="J474" i="1" a="1"/>
  <c r="J474" i="1"/>
  <c r="J475" i="1" a="1"/>
  <c r="J475" i="1"/>
  <c r="J476" i="1" a="1"/>
  <c r="J476" i="1"/>
  <c r="J477" i="1" a="1"/>
  <c r="J477" i="1"/>
  <c r="J478" i="1" a="1"/>
  <c r="J478" i="1"/>
  <c r="J479" i="1" a="1"/>
  <c r="J479" i="1"/>
  <c r="J480" i="1" a="1"/>
  <c r="J480" i="1"/>
  <c r="J481" i="1" a="1"/>
  <c r="J481" i="1"/>
  <c r="J482" i="1" a="1"/>
  <c r="J482" i="1"/>
  <c r="J483" i="1" a="1"/>
  <c r="J483" i="1"/>
  <c r="J484" i="1" a="1"/>
  <c r="J484" i="1"/>
  <c r="J485" i="1" a="1"/>
  <c r="J485" i="1"/>
  <c r="J486" i="1" a="1"/>
  <c r="J486" i="1"/>
  <c r="J487" i="1" a="1"/>
  <c r="J487" i="1"/>
  <c r="J488" i="1" a="1"/>
  <c r="J488" i="1"/>
  <c r="J489" i="1" a="1"/>
  <c r="J489" i="1"/>
  <c r="J490" i="1" a="1"/>
  <c r="J490" i="1"/>
  <c r="J491" i="1" a="1"/>
  <c r="J491" i="1"/>
  <c r="J492" i="1" a="1"/>
  <c r="J492" i="1"/>
  <c r="J493" i="1" a="1"/>
  <c r="J493" i="1"/>
  <c r="J494" i="1" a="1"/>
  <c r="J494" i="1"/>
  <c r="J495" i="1" a="1"/>
  <c r="J495" i="1"/>
  <c r="J496" i="1" a="1"/>
  <c r="J496" i="1"/>
  <c r="J497" i="1" a="1"/>
  <c r="J497" i="1"/>
  <c r="J498" i="1" a="1"/>
  <c r="J498" i="1"/>
  <c r="J499" i="1" a="1"/>
  <c r="J499" i="1"/>
  <c r="J500" i="1" a="1"/>
  <c r="J500" i="1"/>
  <c r="J501" i="1" a="1"/>
  <c r="J501" i="1"/>
  <c r="J502" i="1" a="1"/>
  <c r="J502" i="1"/>
  <c r="J503" i="1" a="1"/>
  <c r="J503" i="1"/>
  <c r="J504" i="1" a="1"/>
  <c r="J504" i="1"/>
  <c r="J505" i="1" a="1"/>
  <c r="J505" i="1"/>
  <c r="J506" i="1" a="1"/>
  <c r="J506" i="1"/>
  <c r="J507" i="1" a="1"/>
  <c r="J507" i="1"/>
  <c r="J508" i="1" a="1"/>
  <c r="J508" i="1"/>
  <c r="J509" i="1" a="1"/>
  <c r="J509" i="1"/>
  <c r="J510" i="1" a="1"/>
  <c r="J510" i="1"/>
  <c r="J511" i="1" a="1"/>
  <c r="J511" i="1"/>
  <c r="J512" i="1" a="1"/>
  <c r="J512" i="1"/>
  <c r="J513" i="1" a="1"/>
  <c r="J513" i="1"/>
  <c r="J514" i="1" a="1"/>
  <c r="J514" i="1"/>
  <c r="J515" i="1" a="1"/>
  <c r="J515" i="1"/>
  <c r="J516" i="1" a="1"/>
  <c r="J516" i="1"/>
  <c r="J517" i="1" a="1"/>
  <c r="J517" i="1"/>
  <c r="J518" i="1" a="1"/>
  <c r="J518" i="1"/>
  <c r="J519" i="1" a="1"/>
  <c r="J519" i="1"/>
  <c r="J520" i="1" a="1"/>
  <c r="J520" i="1"/>
  <c r="J521" i="1" a="1"/>
  <c r="J521" i="1"/>
  <c r="J522" i="1" a="1"/>
  <c r="J522" i="1"/>
  <c r="J523" i="1" a="1"/>
  <c r="J523" i="1"/>
  <c r="J524" i="1" a="1"/>
  <c r="J524" i="1"/>
  <c r="J525" i="1" a="1"/>
  <c r="J525" i="1"/>
  <c r="J526" i="1" a="1"/>
  <c r="J526" i="1"/>
  <c r="J527" i="1" a="1"/>
  <c r="J527" i="1"/>
  <c r="J528" i="1" a="1"/>
  <c r="J528" i="1"/>
  <c r="J529" i="1" a="1"/>
  <c r="J529" i="1"/>
  <c r="J530" i="1" a="1"/>
  <c r="J530" i="1"/>
  <c r="J531" i="1" a="1"/>
  <c r="J531" i="1"/>
  <c r="J532" i="1" a="1"/>
  <c r="J532" i="1"/>
  <c r="J533" i="1" a="1"/>
  <c r="J533" i="1"/>
  <c r="J534" i="1" a="1"/>
  <c r="J534" i="1"/>
  <c r="J535" i="1" a="1"/>
  <c r="J535" i="1"/>
  <c r="J536" i="1" a="1"/>
  <c r="J536" i="1"/>
  <c r="J537" i="1" a="1"/>
  <c r="J537" i="1"/>
  <c r="J538" i="1" a="1"/>
  <c r="J538" i="1"/>
  <c r="J539" i="1" a="1"/>
  <c r="J539" i="1"/>
  <c r="J540" i="1" a="1"/>
  <c r="J540" i="1"/>
  <c r="J541" i="1" a="1"/>
  <c r="J541" i="1"/>
  <c r="J542" i="1" a="1"/>
  <c r="J542" i="1"/>
  <c r="J543" i="1" a="1"/>
  <c r="J543" i="1"/>
  <c r="J544" i="1" a="1"/>
  <c r="J544" i="1"/>
  <c r="J545" i="1" a="1"/>
  <c r="J545" i="1"/>
  <c r="J546" i="1" a="1"/>
  <c r="J546" i="1"/>
  <c r="J547" i="1" a="1"/>
  <c r="J547" i="1"/>
  <c r="J548" i="1" a="1"/>
  <c r="J548" i="1"/>
  <c r="J549" i="1" a="1"/>
  <c r="J549" i="1"/>
  <c r="J550" i="1" a="1"/>
  <c r="J550" i="1"/>
  <c r="J551" i="1" a="1"/>
  <c r="J551" i="1"/>
  <c r="J552" i="1" a="1"/>
  <c r="J552" i="1"/>
  <c r="J553" i="1" a="1"/>
  <c r="J553" i="1"/>
  <c r="J554" i="1" a="1"/>
  <c r="J554" i="1"/>
  <c r="J555" i="1" a="1"/>
  <c r="J555" i="1"/>
  <c r="J556" i="1" a="1"/>
  <c r="J556" i="1"/>
  <c r="J557" i="1" a="1"/>
  <c r="J557" i="1"/>
  <c r="J558" i="1" a="1"/>
  <c r="J558" i="1"/>
  <c r="J559" i="1" a="1"/>
  <c r="J559" i="1"/>
  <c r="J560" i="1" a="1"/>
  <c r="J560" i="1"/>
  <c r="J561" i="1" a="1"/>
  <c r="J561" i="1"/>
  <c r="J562" i="1" a="1"/>
  <c r="J562" i="1"/>
  <c r="J563" i="1" a="1"/>
  <c r="J563" i="1"/>
  <c r="J564" i="1" a="1"/>
  <c r="J564" i="1"/>
  <c r="J565" i="1" a="1"/>
  <c r="J565" i="1"/>
  <c r="J566" i="1" a="1"/>
  <c r="J566" i="1"/>
  <c r="J567" i="1" a="1"/>
  <c r="J567" i="1"/>
  <c r="J568" i="1" a="1"/>
  <c r="J568" i="1"/>
  <c r="J569" i="1" a="1"/>
  <c r="J569" i="1"/>
  <c r="J570" i="1" a="1"/>
  <c r="J570" i="1"/>
  <c r="J571" i="1" a="1"/>
  <c r="J571" i="1"/>
  <c r="J572" i="1" a="1"/>
  <c r="J572" i="1"/>
  <c r="J573" i="1" a="1"/>
  <c r="J573" i="1"/>
  <c r="J574" i="1" a="1"/>
  <c r="J574" i="1"/>
  <c r="J575" i="1" a="1"/>
  <c r="J575" i="1"/>
  <c r="J576" i="1" a="1"/>
  <c r="J576" i="1"/>
  <c r="J577" i="1" a="1"/>
  <c r="J577" i="1"/>
  <c r="J578" i="1" a="1"/>
  <c r="J578" i="1"/>
  <c r="J579" i="1" a="1"/>
  <c r="J579" i="1"/>
  <c r="J580" i="1" a="1"/>
  <c r="J580" i="1"/>
  <c r="J581" i="1" a="1"/>
  <c r="J581" i="1"/>
  <c r="J582" i="1" a="1"/>
  <c r="J582" i="1"/>
  <c r="J583" i="1" a="1"/>
  <c r="J583" i="1"/>
  <c r="J584" i="1" a="1"/>
  <c r="J584" i="1"/>
  <c r="J585" i="1" a="1"/>
  <c r="J585" i="1"/>
  <c r="J586" i="1" a="1"/>
  <c r="J586" i="1"/>
  <c r="J587" i="1" a="1"/>
  <c r="J587" i="1"/>
  <c r="J588" i="1" a="1"/>
  <c r="J588" i="1"/>
  <c r="J589" i="1" a="1"/>
  <c r="J589" i="1"/>
  <c r="J590" i="1" a="1"/>
  <c r="J590" i="1"/>
  <c r="J591" i="1" a="1"/>
  <c r="J591" i="1"/>
  <c r="J592" i="1" a="1"/>
  <c r="J592" i="1"/>
  <c r="J593" i="1" a="1"/>
  <c r="J593" i="1"/>
  <c r="J594" i="1" a="1"/>
  <c r="J594" i="1"/>
  <c r="J595" i="1" a="1"/>
  <c r="J595" i="1"/>
  <c r="J596" i="1" a="1"/>
  <c r="J596" i="1"/>
  <c r="J597" i="1" a="1"/>
  <c r="J597" i="1"/>
  <c r="J598" i="1" a="1"/>
  <c r="J598" i="1"/>
  <c r="J599" i="1" a="1"/>
  <c r="J599" i="1"/>
  <c r="J600" i="1" a="1"/>
  <c r="J600" i="1"/>
  <c r="J601" i="1" a="1"/>
  <c r="J601" i="1"/>
  <c r="J602" i="1" a="1"/>
  <c r="J602" i="1"/>
  <c r="J603" i="1" a="1"/>
  <c r="J603" i="1"/>
  <c r="J604" i="1" a="1"/>
  <c r="J604" i="1"/>
  <c r="J605" i="1" a="1"/>
  <c r="J605" i="1"/>
  <c r="J606" i="1" a="1"/>
  <c r="J606" i="1"/>
  <c r="J607" i="1" a="1"/>
  <c r="J607" i="1"/>
  <c r="J608" i="1" a="1"/>
  <c r="J608" i="1"/>
  <c r="J609" i="1" a="1"/>
  <c r="J609" i="1"/>
  <c r="J610" i="1" a="1"/>
  <c r="J610" i="1"/>
  <c r="J611" i="1" a="1"/>
  <c r="J611" i="1"/>
  <c r="J612" i="1" a="1"/>
  <c r="J612" i="1"/>
  <c r="J613" i="1" a="1"/>
  <c r="J613" i="1"/>
  <c r="J614" i="1" a="1"/>
  <c r="J614" i="1"/>
  <c r="J615" i="1" a="1"/>
  <c r="J615" i="1"/>
  <c r="J616" i="1" a="1"/>
  <c r="J616" i="1"/>
  <c r="J617" i="1" a="1"/>
  <c r="J617" i="1"/>
  <c r="J618" i="1" a="1"/>
  <c r="J618" i="1"/>
  <c r="J619" i="1" a="1"/>
  <c r="J619" i="1"/>
  <c r="J620" i="1" a="1"/>
  <c r="J620" i="1"/>
  <c r="J621" i="1" a="1"/>
  <c r="J621" i="1"/>
  <c r="J622" i="1" a="1"/>
  <c r="J622" i="1"/>
  <c r="J623" i="1" a="1"/>
  <c r="J623" i="1"/>
  <c r="J624" i="1" a="1"/>
  <c r="J624" i="1"/>
  <c r="J625" i="1" a="1"/>
  <c r="J625" i="1"/>
  <c r="J626" i="1" a="1"/>
  <c r="J626" i="1"/>
  <c r="J627" i="1" a="1"/>
  <c r="J627" i="1"/>
  <c r="J628" i="1" a="1"/>
  <c r="J628" i="1"/>
  <c r="J629" i="1" a="1"/>
  <c r="J629" i="1"/>
  <c r="J630" i="1" a="1"/>
  <c r="J630" i="1"/>
  <c r="J631" i="1" a="1"/>
  <c r="J631" i="1"/>
  <c r="J632" i="1" a="1"/>
  <c r="J632" i="1"/>
  <c r="J633" i="1" a="1"/>
  <c r="J633" i="1"/>
  <c r="J634" i="1" a="1"/>
  <c r="J634" i="1"/>
  <c r="J635" i="1" a="1"/>
  <c r="J635" i="1"/>
  <c r="J636" i="1" a="1"/>
  <c r="J636" i="1"/>
  <c r="J637" i="1" a="1"/>
  <c r="J637" i="1"/>
  <c r="J638" i="1" a="1"/>
  <c r="J638" i="1"/>
  <c r="J639" i="1" a="1"/>
  <c r="J639" i="1"/>
  <c r="J640" i="1" a="1"/>
  <c r="J640" i="1"/>
  <c r="J641" i="1" a="1"/>
  <c r="J641" i="1"/>
  <c r="J642" i="1" a="1"/>
  <c r="J642" i="1"/>
  <c r="J643" i="1" a="1"/>
  <c r="J643" i="1"/>
  <c r="J644" i="1" a="1"/>
  <c r="J644" i="1"/>
  <c r="J645" i="1" a="1"/>
  <c r="J645" i="1"/>
  <c r="J646" i="1" a="1"/>
  <c r="J646" i="1"/>
  <c r="J647" i="1" a="1"/>
  <c r="J647" i="1"/>
  <c r="J648" i="1" a="1"/>
  <c r="J648" i="1"/>
  <c r="J649" i="1" a="1"/>
  <c r="J649" i="1"/>
  <c r="J650" i="1" a="1"/>
  <c r="J650" i="1"/>
  <c r="J651" i="1" a="1"/>
  <c r="J651" i="1"/>
  <c r="J652" i="1" a="1"/>
  <c r="J652" i="1"/>
  <c r="J653" i="1" a="1"/>
  <c r="J653" i="1"/>
  <c r="J654" i="1" a="1"/>
  <c r="J654" i="1"/>
  <c r="J655" i="1" a="1"/>
  <c r="J655" i="1"/>
  <c r="J656" i="1" a="1"/>
  <c r="J656" i="1"/>
  <c r="J657" i="1" a="1"/>
  <c r="J657" i="1"/>
  <c r="J658" i="1" a="1"/>
  <c r="J658" i="1"/>
  <c r="J659" i="1" a="1"/>
  <c r="J659" i="1"/>
  <c r="J660" i="1" a="1"/>
  <c r="J660" i="1"/>
  <c r="J661" i="1" a="1"/>
  <c r="J661" i="1"/>
  <c r="J662" i="1" a="1"/>
  <c r="J662" i="1"/>
  <c r="J663" i="1" a="1"/>
  <c r="J663" i="1"/>
  <c r="J664" i="1" a="1"/>
  <c r="J664" i="1"/>
  <c r="J665" i="1" a="1"/>
  <c r="J665" i="1"/>
  <c r="J666" i="1" a="1"/>
  <c r="J666" i="1"/>
  <c r="J667" i="1" a="1"/>
  <c r="J667" i="1"/>
  <c r="J668" i="1" a="1"/>
  <c r="J668" i="1"/>
  <c r="J669" i="1" a="1"/>
  <c r="J669" i="1"/>
  <c r="J670" i="1" a="1"/>
  <c r="J670" i="1"/>
  <c r="J671" i="1" a="1"/>
  <c r="J671" i="1"/>
  <c r="J672" i="1" a="1"/>
  <c r="J672" i="1"/>
  <c r="J673" i="1" a="1"/>
  <c r="J673" i="1"/>
  <c r="J674" i="1" a="1"/>
  <c r="J674" i="1"/>
  <c r="J675" i="1" a="1"/>
  <c r="J675" i="1"/>
  <c r="J676" i="1" a="1"/>
  <c r="J676" i="1"/>
  <c r="J677" i="1" a="1"/>
  <c r="J677" i="1"/>
  <c r="J678" i="1" a="1"/>
  <c r="J678" i="1"/>
  <c r="J679" i="1" a="1"/>
  <c r="J679" i="1"/>
  <c r="J680" i="1" a="1"/>
  <c r="J680" i="1"/>
  <c r="J681" i="1" a="1"/>
  <c r="J681" i="1"/>
  <c r="J682" i="1" a="1"/>
  <c r="J682" i="1"/>
  <c r="J683" i="1" a="1"/>
  <c r="J683" i="1"/>
  <c r="J684" i="1" a="1"/>
  <c r="J684" i="1"/>
  <c r="J685" i="1" a="1"/>
  <c r="J685" i="1"/>
  <c r="J686" i="1" a="1"/>
  <c r="J686" i="1"/>
  <c r="J687" i="1" a="1"/>
  <c r="J687" i="1"/>
  <c r="J688" i="1" a="1"/>
  <c r="J688" i="1"/>
  <c r="J689" i="1" a="1"/>
  <c r="J689" i="1"/>
  <c r="J690" i="1" a="1"/>
  <c r="J690" i="1"/>
  <c r="J691" i="1" a="1"/>
  <c r="J691" i="1"/>
  <c r="J692" i="1" a="1"/>
  <c r="J692" i="1"/>
  <c r="J693" i="1" a="1"/>
  <c r="J693" i="1"/>
  <c r="J694" i="1" a="1"/>
  <c r="J694" i="1"/>
  <c r="J695" i="1" a="1"/>
  <c r="J695" i="1"/>
  <c r="J696" i="1" a="1"/>
  <c r="J696" i="1"/>
  <c r="J697" i="1" a="1"/>
  <c r="J697" i="1"/>
  <c r="J698" i="1" a="1"/>
  <c r="J698" i="1"/>
  <c r="J699" i="1" a="1"/>
  <c r="J699" i="1"/>
  <c r="J700" i="1" a="1"/>
  <c r="J700" i="1"/>
  <c r="J701" i="1" a="1"/>
  <c r="J701" i="1"/>
  <c r="J702" i="1" a="1"/>
  <c r="J702" i="1"/>
  <c r="J703" i="1" a="1"/>
  <c r="J703" i="1"/>
  <c r="J704" i="1" a="1"/>
  <c r="J704" i="1"/>
  <c r="J705" i="1" a="1"/>
  <c r="J705" i="1"/>
  <c r="J706" i="1" a="1"/>
  <c r="J706" i="1"/>
  <c r="J707" i="1" a="1"/>
  <c r="J707" i="1"/>
  <c r="J708" i="1" a="1"/>
  <c r="J708" i="1"/>
  <c r="J709" i="1" a="1"/>
  <c r="J709" i="1"/>
  <c r="J710" i="1" a="1"/>
  <c r="J710" i="1"/>
  <c r="J711" i="1" a="1"/>
  <c r="J711" i="1"/>
  <c r="J712" i="1" a="1"/>
  <c r="J712" i="1"/>
  <c r="J713" i="1" a="1"/>
  <c r="J713" i="1"/>
  <c r="J714" i="1" a="1"/>
  <c r="J714" i="1"/>
  <c r="J715" i="1" a="1"/>
  <c r="J715" i="1"/>
  <c r="J716" i="1" a="1"/>
  <c r="J716" i="1"/>
  <c r="J717" i="1" a="1"/>
  <c r="J717" i="1"/>
  <c r="J718" i="1" a="1"/>
  <c r="J718" i="1"/>
  <c r="J719" i="1" a="1"/>
  <c r="J719" i="1"/>
  <c r="J720" i="1" a="1"/>
  <c r="J720" i="1"/>
  <c r="J721" i="1" a="1"/>
  <c r="J721" i="1"/>
  <c r="J722" i="1" a="1"/>
  <c r="J722" i="1"/>
  <c r="J723" i="1" a="1"/>
  <c r="J723" i="1"/>
  <c r="J724" i="1" a="1"/>
  <c r="J724" i="1"/>
  <c r="J725" i="1" a="1"/>
  <c r="J725" i="1"/>
  <c r="J726" i="1" a="1"/>
  <c r="J726" i="1"/>
  <c r="J727" i="1" a="1"/>
  <c r="J727" i="1"/>
  <c r="J728" i="1" a="1"/>
  <c r="J728" i="1"/>
  <c r="J729" i="1" a="1"/>
  <c r="J729" i="1"/>
  <c r="J730" i="1" a="1"/>
  <c r="J730" i="1"/>
  <c r="J731" i="1" a="1"/>
  <c r="J731" i="1"/>
  <c r="J732" i="1" a="1"/>
  <c r="J732" i="1"/>
  <c r="J733" i="1" a="1"/>
  <c r="J733" i="1"/>
  <c r="J734" i="1" a="1"/>
  <c r="J734" i="1"/>
  <c r="J735" i="1" a="1"/>
  <c r="J735" i="1"/>
  <c r="J736" i="1" a="1"/>
  <c r="J736" i="1"/>
  <c r="J737" i="1" a="1"/>
  <c r="J737" i="1"/>
  <c r="J738" i="1" a="1"/>
  <c r="J738" i="1"/>
  <c r="J739" i="1" a="1"/>
  <c r="J739" i="1"/>
  <c r="J740" i="1" a="1"/>
  <c r="J740" i="1"/>
  <c r="J741" i="1" a="1"/>
  <c r="J741" i="1"/>
  <c r="J742" i="1" a="1"/>
  <c r="J742" i="1"/>
  <c r="J743" i="1" a="1"/>
  <c r="J743" i="1"/>
  <c r="J744" i="1" a="1"/>
  <c r="J744" i="1"/>
  <c r="J745" i="1" a="1"/>
  <c r="J745" i="1"/>
  <c r="J746" i="1" a="1"/>
  <c r="J746" i="1"/>
  <c r="J747" i="1" a="1"/>
  <c r="J747" i="1"/>
  <c r="J748" i="1" a="1"/>
  <c r="J748" i="1"/>
  <c r="J749" i="1" a="1"/>
  <c r="J749" i="1"/>
  <c r="J750" i="1" a="1"/>
  <c r="J750" i="1"/>
  <c r="J751" i="1" a="1"/>
  <c r="J751" i="1"/>
  <c r="J752" i="1" a="1"/>
  <c r="J752" i="1"/>
  <c r="J753" i="1" a="1"/>
  <c r="J753" i="1"/>
  <c r="J754" i="1" a="1"/>
  <c r="J754" i="1"/>
  <c r="J755" i="1" a="1"/>
  <c r="J755" i="1"/>
  <c r="J756" i="1" a="1"/>
  <c r="J756" i="1"/>
  <c r="J757" i="1" a="1"/>
  <c r="J757" i="1"/>
  <c r="J758" i="1" a="1"/>
  <c r="J758" i="1"/>
  <c r="J759" i="1" a="1"/>
  <c r="J759" i="1"/>
  <c r="J760" i="1" a="1"/>
  <c r="J760" i="1"/>
  <c r="J761" i="1" a="1"/>
  <c r="J761" i="1"/>
  <c r="J762" i="1" a="1"/>
  <c r="J762" i="1"/>
  <c r="J763" i="1" a="1"/>
  <c r="J763" i="1"/>
  <c r="J764" i="1" a="1"/>
  <c r="J764" i="1"/>
  <c r="J765" i="1" a="1"/>
  <c r="J765" i="1"/>
  <c r="J766" i="1" a="1"/>
  <c r="J766" i="1"/>
  <c r="J767" i="1" a="1"/>
  <c r="J767" i="1"/>
  <c r="J768" i="1" a="1"/>
  <c r="J768" i="1"/>
  <c r="J769" i="1" a="1"/>
  <c r="J769" i="1"/>
  <c r="J770" i="1" a="1"/>
  <c r="J770" i="1"/>
  <c r="J771" i="1" a="1"/>
  <c r="J771" i="1"/>
  <c r="J772" i="1" a="1"/>
  <c r="J772" i="1"/>
  <c r="J773" i="1" a="1"/>
  <c r="J773" i="1"/>
  <c r="J774" i="1" a="1"/>
  <c r="J774" i="1"/>
  <c r="J775" i="1" a="1"/>
  <c r="J775" i="1"/>
  <c r="J776" i="1" a="1"/>
  <c r="J776" i="1"/>
  <c r="J777" i="1" a="1"/>
  <c r="J777" i="1"/>
  <c r="J778" i="1" a="1"/>
  <c r="J778" i="1"/>
  <c r="J779" i="1" a="1"/>
  <c r="J779" i="1"/>
  <c r="J780" i="1" a="1"/>
  <c r="J780" i="1"/>
  <c r="J781" i="1" a="1"/>
  <c r="J781" i="1"/>
  <c r="J782" i="1" a="1"/>
  <c r="J782" i="1"/>
  <c r="J783" i="1" a="1"/>
  <c r="J783" i="1"/>
  <c r="J784" i="1" a="1"/>
  <c r="J784" i="1"/>
  <c r="J785" i="1" a="1"/>
  <c r="J785" i="1"/>
  <c r="J786" i="1" a="1"/>
  <c r="J786" i="1"/>
  <c r="J787" i="1" a="1"/>
  <c r="J787" i="1"/>
  <c r="J788" i="1" a="1"/>
  <c r="J788" i="1"/>
  <c r="J789" i="1" a="1"/>
  <c r="J789" i="1"/>
  <c r="J790" i="1" a="1"/>
  <c r="J790" i="1"/>
  <c r="J791" i="1" a="1"/>
  <c r="J791" i="1"/>
  <c r="J792" i="1" a="1"/>
  <c r="J792" i="1"/>
  <c r="J793" i="1" a="1"/>
  <c r="J793" i="1"/>
  <c r="J794" i="1" a="1"/>
  <c r="J794" i="1"/>
  <c r="J795" i="1" a="1"/>
  <c r="J795" i="1"/>
  <c r="J796" i="1" a="1"/>
  <c r="J796" i="1"/>
  <c r="J797" i="1" a="1"/>
  <c r="J797" i="1"/>
  <c r="J798" i="1" a="1"/>
  <c r="J798" i="1"/>
  <c r="J799" i="1" a="1"/>
  <c r="J799" i="1"/>
  <c r="J800" i="1" a="1"/>
  <c r="J800" i="1"/>
  <c r="J801" i="1" a="1"/>
  <c r="J801" i="1"/>
  <c r="J802" i="1" a="1"/>
  <c r="J802" i="1"/>
  <c r="J803" i="1" a="1"/>
  <c r="J803" i="1"/>
  <c r="J804" i="1" a="1"/>
  <c r="J804" i="1"/>
  <c r="J805" i="1" a="1"/>
  <c r="J805" i="1"/>
  <c r="J806" i="1" a="1"/>
  <c r="J806" i="1"/>
  <c r="J807" i="1" a="1"/>
  <c r="J807" i="1"/>
  <c r="J808" i="1" a="1"/>
  <c r="J808" i="1"/>
  <c r="J809" i="1" a="1"/>
  <c r="J809" i="1"/>
  <c r="J810" i="1" a="1"/>
  <c r="J810" i="1"/>
  <c r="J811" i="1" a="1"/>
  <c r="J811" i="1"/>
  <c r="J812" i="1" a="1"/>
  <c r="J812" i="1"/>
  <c r="J813" i="1" a="1"/>
  <c r="J813" i="1"/>
  <c r="J814" i="1" a="1"/>
  <c r="J814" i="1"/>
  <c r="J815" i="1" a="1"/>
  <c r="J815" i="1"/>
  <c r="J816" i="1" a="1"/>
  <c r="J816" i="1"/>
  <c r="J817" i="1" a="1"/>
  <c r="J817" i="1"/>
  <c r="J818" i="1" a="1"/>
  <c r="J818" i="1"/>
  <c r="J819" i="1" a="1"/>
  <c r="J819" i="1"/>
  <c r="J820" i="1" a="1"/>
  <c r="J820" i="1"/>
  <c r="J821" i="1" a="1"/>
  <c r="J821" i="1"/>
  <c r="J822" i="1" a="1"/>
  <c r="J822" i="1"/>
  <c r="J823" i="1" a="1"/>
  <c r="J823" i="1"/>
  <c r="J824" i="1" a="1"/>
  <c r="J824" i="1"/>
  <c r="J825" i="1" a="1"/>
  <c r="J825" i="1"/>
  <c r="J826" i="1" a="1"/>
  <c r="J826" i="1"/>
  <c r="J827" i="1" a="1"/>
  <c r="J827" i="1"/>
  <c r="J828" i="1" a="1"/>
  <c r="J828" i="1"/>
  <c r="J829" i="1" a="1"/>
  <c r="J829" i="1"/>
  <c r="J830" i="1" a="1"/>
  <c r="J830" i="1"/>
  <c r="J831" i="1" a="1"/>
  <c r="J831" i="1"/>
  <c r="J832" i="1" a="1"/>
  <c r="J832" i="1"/>
  <c r="J833" i="1" a="1"/>
  <c r="J833" i="1"/>
  <c r="J834" i="1" a="1"/>
  <c r="J834" i="1"/>
  <c r="J835" i="1" a="1"/>
  <c r="J835" i="1"/>
  <c r="J836" i="1" a="1"/>
  <c r="J836" i="1"/>
  <c r="J837" i="1" a="1"/>
  <c r="J837" i="1"/>
  <c r="J838" i="1" a="1"/>
  <c r="J838" i="1"/>
  <c r="J839" i="1" a="1"/>
  <c r="J839" i="1"/>
  <c r="J840" i="1" a="1"/>
  <c r="J840" i="1"/>
  <c r="J841" i="1" a="1"/>
  <c r="J841" i="1"/>
  <c r="J842" i="1" a="1"/>
  <c r="J842" i="1"/>
  <c r="J843" i="1" a="1"/>
  <c r="J843" i="1"/>
  <c r="J844" i="1" a="1"/>
  <c r="J844" i="1"/>
  <c r="J845" i="1" a="1"/>
  <c r="J845" i="1"/>
  <c r="J846" i="1" a="1"/>
  <c r="J846" i="1"/>
  <c r="J847" i="1" a="1"/>
  <c r="J847" i="1"/>
  <c r="J848" i="1" a="1"/>
  <c r="J848" i="1"/>
  <c r="J849" i="1" a="1"/>
  <c r="J849" i="1"/>
  <c r="J850" i="1" a="1"/>
  <c r="J850" i="1"/>
  <c r="J851" i="1" a="1"/>
  <c r="J851" i="1"/>
  <c r="J852" i="1" a="1"/>
  <c r="J852" i="1"/>
  <c r="J853" i="1" a="1"/>
  <c r="J853" i="1"/>
  <c r="J854" i="1" a="1"/>
  <c r="J854" i="1"/>
  <c r="J855" i="1" a="1"/>
  <c r="J855" i="1"/>
  <c r="J856" i="1" a="1"/>
  <c r="J856" i="1"/>
  <c r="J857" i="1" a="1"/>
  <c r="J857" i="1"/>
  <c r="J858" i="1" a="1"/>
  <c r="J858" i="1"/>
  <c r="J859" i="1" a="1"/>
  <c r="J859" i="1"/>
  <c r="J860" i="1" a="1"/>
  <c r="J860" i="1"/>
  <c r="J861" i="1" a="1"/>
  <c r="J861" i="1"/>
  <c r="J862" i="1" a="1"/>
  <c r="J862" i="1"/>
  <c r="J863" i="1" a="1"/>
  <c r="J863" i="1"/>
  <c r="J864" i="1" a="1"/>
  <c r="J864" i="1"/>
  <c r="J865" i="1" a="1"/>
  <c r="J865" i="1"/>
  <c r="J866" i="1" a="1"/>
  <c r="J866" i="1"/>
  <c r="J867" i="1" a="1"/>
  <c r="J867" i="1"/>
  <c r="J868" i="1" a="1"/>
  <c r="J868" i="1"/>
  <c r="J869" i="1" a="1"/>
  <c r="J869" i="1"/>
  <c r="J870" i="1" a="1"/>
  <c r="J870" i="1"/>
  <c r="J871" i="1" a="1"/>
  <c r="J871" i="1"/>
  <c r="J872" i="1" a="1"/>
  <c r="J872" i="1"/>
  <c r="J873" i="1" a="1"/>
  <c r="J873" i="1"/>
  <c r="J874" i="1" a="1"/>
  <c r="J874" i="1"/>
  <c r="J875" i="1" a="1"/>
  <c r="J875" i="1"/>
  <c r="J876" i="1" a="1"/>
  <c r="J876" i="1"/>
  <c r="J877" i="1" a="1"/>
  <c r="J877" i="1"/>
  <c r="J878" i="1" a="1"/>
  <c r="J878" i="1"/>
  <c r="J879" i="1" a="1"/>
  <c r="J879" i="1"/>
  <c r="J880" i="1" a="1"/>
  <c r="J880" i="1"/>
  <c r="J881" i="1" a="1"/>
  <c r="J881" i="1"/>
  <c r="J882" i="1" a="1"/>
  <c r="J882" i="1"/>
  <c r="J883" i="1" a="1"/>
  <c r="J883" i="1"/>
  <c r="J884" i="1" a="1"/>
  <c r="J884" i="1"/>
  <c r="J885" i="1" a="1"/>
  <c r="J885" i="1"/>
  <c r="J886" i="1" a="1"/>
  <c r="J886" i="1"/>
  <c r="J887" i="1" a="1"/>
  <c r="J887" i="1"/>
  <c r="J888" i="1" a="1"/>
  <c r="J888" i="1"/>
  <c r="J889" i="1" a="1"/>
  <c r="J889" i="1"/>
  <c r="J890" i="1" a="1"/>
  <c r="J890" i="1"/>
  <c r="J891" i="1" a="1"/>
  <c r="J891" i="1"/>
  <c r="J892" i="1" a="1"/>
  <c r="J892" i="1"/>
  <c r="J893" i="1" a="1"/>
  <c r="J893" i="1"/>
  <c r="J894" i="1" a="1"/>
  <c r="J894" i="1"/>
  <c r="J895" i="1" a="1"/>
  <c r="J895" i="1"/>
  <c r="J896" i="1" a="1"/>
  <c r="J896" i="1"/>
  <c r="J897" i="1" a="1"/>
  <c r="J897" i="1"/>
  <c r="J898" i="1" a="1"/>
  <c r="J898" i="1"/>
  <c r="J899" i="1" a="1"/>
  <c r="J899" i="1"/>
  <c r="J900" i="1" a="1"/>
  <c r="J900" i="1"/>
  <c r="J901" i="1" a="1"/>
  <c r="J901" i="1"/>
  <c r="J902" i="1" a="1"/>
  <c r="J902" i="1"/>
  <c r="J903" i="1" a="1"/>
  <c r="J903" i="1"/>
  <c r="J904" i="1" a="1"/>
  <c r="J904" i="1"/>
  <c r="J905" i="1" a="1"/>
  <c r="J905" i="1"/>
  <c r="J906" i="1" a="1"/>
  <c r="J906" i="1"/>
  <c r="J907" i="1" a="1"/>
  <c r="J907" i="1"/>
  <c r="J908" i="1" a="1"/>
  <c r="J908" i="1"/>
  <c r="J909" i="1" a="1"/>
  <c r="J909" i="1"/>
  <c r="J910" i="1" a="1"/>
  <c r="J910" i="1"/>
  <c r="J911" i="1" a="1"/>
  <c r="J911" i="1"/>
  <c r="J912" i="1" a="1"/>
  <c r="J912" i="1"/>
  <c r="J913" i="1" a="1"/>
  <c r="J913" i="1"/>
  <c r="J914" i="1" a="1"/>
  <c r="J914" i="1"/>
  <c r="J915" i="1" a="1"/>
  <c r="J915" i="1"/>
  <c r="J916" i="1" a="1"/>
  <c r="J916" i="1"/>
  <c r="J917" i="1" a="1"/>
  <c r="J917" i="1"/>
  <c r="J918" i="1" a="1"/>
  <c r="J918" i="1"/>
  <c r="J919" i="1" a="1"/>
  <c r="J919" i="1"/>
  <c r="J920" i="1" a="1"/>
  <c r="J920" i="1"/>
  <c r="J921" i="1" a="1"/>
  <c r="J921" i="1"/>
  <c r="J922" i="1" a="1"/>
  <c r="J922" i="1"/>
  <c r="J923" i="1" a="1"/>
  <c r="J923" i="1"/>
  <c r="J924" i="1" a="1"/>
  <c r="J924" i="1"/>
  <c r="J925" i="1" a="1"/>
  <c r="J925" i="1"/>
  <c r="J926" i="1" a="1"/>
  <c r="J926" i="1"/>
  <c r="J927" i="1" a="1"/>
  <c r="J927" i="1"/>
  <c r="J928" i="1" a="1"/>
  <c r="J928" i="1"/>
  <c r="J929" i="1" a="1"/>
  <c r="J929" i="1"/>
  <c r="J930" i="1" a="1"/>
  <c r="J930" i="1"/>
  <c r="J931" i="1" a="1"/>
  <c r="J931" i="1"/>
  <c r="J932" i="1" a="1"/>
  <c r="J932" i="1"/>
  <c r="J933" i="1" a="1"/>
  <c r="J933" i="1"/>
  <c r="J934" i="1" a="1"/>
  <c r="J934" i="1"/>
  <c r="J935" i="1" a="1"/>
  <c r="J935" i="1"/>
  <c r="J936" i="1" a="1"/>
  <c r="J936" i="1"/>
  <c r="J937" i="1" a="1"/>
  <c r="J937" i="1"/>
  <c r="J938" i="1" a="1"/>
  <c r="J938" i="1"/>
  <c r="J939" i="1" a="1"/>
  <c r="J939" i="1"/>
  <c r="J940" i="1" a="1"/>
  <c r="J940" i="1"/>
  <c r="J941" i="1" a="1"/>
  <c r="J941" i="1"/>
  <c r="J942" i="1" a="1"/>
  <c r="J942" i="1"/>
  <c r="J943" i="1" a="1"/>
  <c r="J943" i="1"/>
  <c r="J944" i="1" a="1"/>
  <c r="J944" i="1"/>
  <c r="J945" i="1" a="1"/>
  <c r="J945" i="1"/>
  <c r="J946" i="1" a="1"/>
  <c r="J946" i="1"/>
  <c r="J947" i="1" a="1"/>
  <c r="J947" i="1"/>
  <c r="J948" i="1" a="1"/>
  <c r="J948" i="1"/>
  <c r="J949" i="1" a="1"/>
  <c r="J949" i="1"/>
  <c r="J950" i="1" a="1"/>
  <c r="J950" i="1"/>
  <c r="J951" i="1" a="1"/>
  <c r="J951" i="1"/>
  <c r="J952" i="1" a="1"/>
  <c r="J952" i="1"/>
  <c r="J953" i="1" a="1"/>
  <c r="J953" i="1"/>
  <c r="J954" i="1" a="1"/>
  <c r="J954" i="1"/>
  <c r="J955" i="1" a="1"/>
  <c r="J955" i="1"/>
  <c r="J956" i="1" a="1"/>
  <c r="J956" i="1"/>
  <c r="J957" i="1" a="1"/>
  <c r="J957" i="1"/>
  <c r="J958" i="1" a="1"/>
  <c r="J958" i="1"/>
  <c r="J959" i="1" a="1"/>
  <c r="J959" i="1"/>
  <c r="J960" i="1" a="1"/>
  <c r="J960" i="1"/>
  <c r="J961" i="1" a="1"/>
  <c r="J961" i="1"/>
  <c r="J962" i="1" a="1"/>
  <c r="J962" i="1"/>
  <c r="J963" i="1" a="1"/>
  <c r="J963" i="1"/>
  <c r="J964" i="1" a="1"/>
  <c r="J964" i="1"/>
  <c r="J965" i="1" a="1"/>
  <c r="J965" i="1"/>
  <c r="J966" i="1" a="1"/>
  <c r="J966" i="1"/>
  <c r="J967" i="1" a="1"/>
  <c r="J967" i="1"/>
  <c r="J968" i="1" a="1"/>
  <c r="J968" i="1"/>
  <c r="J969" i="1" a="1"/>
  <c r="J969" i="1"/>
  <c r="J970" i="1" a="1"/>
  <c r="J970" i="1"/>
  <c r="J971" i="1" a="1"/>
  <c r="J971" i="1"/>
  <c r="J972" i="1" a="1"/>
  <c r="J972" i="1"/>
  <c r="J973" i="1" a="1"/>
  <c r="J973" i="1"/>
  <c r="J974" i="1" a="1"/>
  <c r="J974" i="1"/>
  <c r="J975" i="1" a="1"/>
  <c r="J975" i="1"/>
  <c r="J976" i="1" a="1"/>
  <c r="J976" i="1"/>
  <c r="J977" i="1" a="1"/>
  <c r="J977" i="1"/>
  <c r="J978" i="1" a="1"/>
  <c r="J978" i="1"/>
  <c r="J979" i="1" a="1"/>
  <c r="J979" i="1"/>
  <c r="J980" i="1" a="1"/>
  <c r="J980" i="1"/>
  <c r="J981" i="1" a="1"/>
  <c r="J981" i="1"/>
  <c r="J982" i="1" a="1"/>
  <c r="J982" i="1"/>
  <c r="J983" i="1" a="1"/>
  <c r="J983" i="1"/>
  <c r="J984" i="1" a="1"/>
  <c r="J984" i="1"/>
  <c r="J985" i="1" a="1"/>
  <c r="J985" i="1"/>
  <c r="J986" i="1" a="1"/>
  <c r="J986" i="1"/>
  <c r="J987" i="1" a="1"/>
  <c r="J987" i="1"/>
  <c r="J988" i="1" a="1"/>
  <c r="J988" i="1"/>
  <c r="J989" i="1" a="1"/>
  <c r="J989" i="1"/>
  <c r="J990" i="1" a="1"/>
  <c r="J990" i="1"/>
  <c r="J991" i="1" a="1"/>
  <c r="J991" i="1"/>
  <c r="J992" i="1" a="1"/>
  <c r="J992" i="1"/>
  <c r="J993" i="1" a="1"/>
  <c r="J993" i="1"/>
  <c r="J994" i="1" a="1"/>
  <c r="J994" i="1"/>
  <c r="J995" i="1" a="1"/>
  <c r="J995" i="1"/>
  <c r="J996" i="1" a="1"/>
  <c r="J996" i="1"/>
  <c r="J997" i="1" a="1"/>
  <c r="J997" i="1"/>
  <c r="J998" i="1" a="1"/>
  <c r="J998" i="1"/>
  <c r="J999" i="1" a="1"/>
  <c r="J999" i="1"/>
  <c r="J1000" i="1" a="1"/>
  <c r="J1000" i="1"/>
  <c r="J1001" i="1" a="1"/>
  <c r="J1001" i="1"/>
  <c r="J2" i="1" a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2" i="1"/>
  <c r="U13" i="1"/>
  <c r="U12" i="1"/>
  <c r="T13" i="1"/>
  <c r="T12" i="1"/>
  <c r="U11" i="1"/>
  <c r="T11" i="1"/>
  <c r="R13" i="1"/>
  <c r="R12" i="1"/>
  <c r="R11" i="1"/>
  <c r="Q1" i="1"/>
  <c r="O3" i="1"/>
  <c r="O4" i="1"/>
  <c r="O5" i="1"/>
  <c r="O6" i="1"/>
  <c r="O7" i="1"/>
  <c r="O8" i="1"/>
  <c r="O9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S11" i="1" l="1"/>
  <c r="S10" i="1"/>
  <c r="S13" i="1"/>
  <c r="S12" i="1"/>
  <c r="Q1001" i="1"/>
  <c r="P1001" i="1"/>
  <c r="Q1000" i="1"/>
  <c r="P1000" i="1"/>
  <c r="Q999" i="1"/>
  <c r="P999" i="1"/>
  <c r="Q998" i="1"/>
  <c r="P998" i="1"/>
  <c r="Q997" i="1"/>
  <c r="P997" i="1"/>
  <c r="Q996" i="1"/>
  <c r="P996" i="1"/>
  <c r="Q995" i="1"/>
  <c r="P995" i="1"/>
  <c r="Q994" i="1"/>
  <c r="P994" i="1"/>
  <c r="Q993" i="1"/>
  <c r="P993" i="1"/>
  <c r="Q992" i="1"/>
  <c r="P992" i="1"/>
  <c r="Q991" i="1"/>
  <c r="P991" i="1"/>
  <c r="Q990" i="1"/>
  <c r="P990" i="1"/>
  <c r="Q989" i="1"/>
  <c r="P989" i="1"/>
  <c r="Q988" i="1"/>
  <c r="P988" i="1"/>
  <c r="Q987" i="1"/>
  <c r="P987" i="1"/>
  <c r="Q986" i="1"/>
  <c r="P986" i="1"/>
  <c r="Q985" i="1"/>
  <c r="P985" i="1"/>
  <c r="Q984" i="1"/>
  <c r="P984" i="1"/>
  <c r="Q983" i="1"/>
  <c r="P983" i="1"/>
  <c r="Q982" i="1"/>
  <c r="P982" i="1"/>
  <c r="Q981" i="1"/>
  <c r="P981" i="1"/>
  <c r="Q980" i="1"/>
  <c r="P980" i="1"/>
  <c r="Q979" i="1"/>
  <c r="P979" i="1"/>
  <c r="Q978" i="1"/>
  <c r="P978" i="1"/>
  <c r="Q977" i="1"/>
  <c r="P977" i="1"/>
  <c r="Q976" i="1"/>
  <c r="P976" i="1"/>
  <c r="Q975" i="1"/>
  <c r="P975" i="1"/>
  <c r="Q974" i="1"/>
  <c r="P974" i="1"/>
  <c r="Q973" i="1"/>
  <c r="P973" i="1"/>
  <c r="Q972" i="1"/>
  <c r="P972" i="1"/>
  <c r="Q971" i="1"/>
  <c r="P971" i="1"/>
  <c r="Q970" i="1"/>
  <c r="P970" i="1"/>
  <c r="Q969" i="1"/>
  <c r="P969" i="1"/>
  <c r="Q968" i="1"/>
  <c r="P968" i="1"/>
  <c r="Q967" i="1"/>
  <c r="P967" i="1"/>
  <c r="Q966" i="1"/>
  <c r="P966" i="1"/>
  <c r="Q965" i="1"/>
  <c r="P965" i="1"/>
  <c r="Q964" i="1"/>
  <c r="P964" i="1"/>
  <c r="Q963" i="1"/>
  <c r="P963" i="1"/>
  <c r="Q962" i="1"/>
  <c r="P962" i="1"/>
  <c r="Q961" i="1"/>
  <c r="P961" i="1"/>
  <c r="Q960" i="1"/>
  <c r="P960" i="1"/>
  <c r="Q959" i="1"/>
  <c r="P959" i="1"/>
  <c r="Q958" i="1"/>
  <c r="P958" i="1"/>
  <c r="Q957" i="1"/>
  <c r="P957" i="1"/>
  <c r="Q956" i="1"/>
  <c r="P956" i="1"/>
  <c r="Q955" i="1"/>
  <c r="P955" i="1"/>
  <c r="Q954" i="1"/>
  <c r="P954" i="1"/>
  <c r="Q953" i="1"/>
  <c r="P953" i="1"/>
  <c r="Q952" i="1"/>
  <c r="P952" i="1"/>
  <c r="Q951" i="1"/>
  <c r="P951" i="1"/>
  <c r="Q950" i="1"/>
  <c r="P950" i="1"/>
  <c r="Q949" i="1"/>
  <c r="P949" i="1"/>
  <c r="Q948" i="1"/>
  <c r="P948" i="1"/>
  <c r="Q947" i="1"/>
  <c r="P947" i="1"/>
  <c r="Q946" i="1"/>
  <c r="P946" i="1"/>
  <c r="Q945" i="1"/>
  <c r="P945" i="1"/>
  <c r="Q944" i="1"/>
  <c r="P944" i="1"/>
  <c r="Q943" i="1"/>
  <c r="P943" i="1"/>
  <c r="Q942" i="1"/>
  <c r="P942" i="1"/>
  <c r="Q941" i="1"/>
  <c r="P941" i="1"/>
  <c r="Q940" i="1"/>
  <c r="P940" i="1"/>
  <c r="Q939" i="1"/>
  <c r="P939" i="1"/>
  <c r="Q938" i="1"/>
  <c r="P938" i="1"/>
  <c r="Q937" i="1"/>
  <c r="P937" i="1"/>
  <c r="Q936" i="1"/>
  <c r="P936" i="1"/>
  <c r="Q935" i="1"/>
  <c r="P935" i="1"/>
  <c r="Q934" i="1"/>
  <c r="P934" i="1"/>
  <c r="Q933" i="1"/>
  <c r="P933" i="1"/>
  <c r="Q932" i="1"/>
  <c r="P932" i="1"/>
  <c r="Q931" i="1"/>
  <c r="P931" i="1"/>
  <c r="Q930" i="1"/>
  <c r="P930" i="1"/>
  <c r="Q929" i="1"/>
  <c r="P929" i="1"/>
  <c r="Q928" i="1"/>
  <c r="P928" i="1"/>
  <c r="Q927" i="1"/>
  <c r="P927" i="1"/>
  <c r="Q926" i="1"/>
  <c r="P926" i="1"/>
  <c r="Q925" i="1"/>
  <c r="P925" i="1"/>
  <c r="Q924" i="1"/>
  <c r="P924" i="1"/>
  <c r="Q923" i="1"/>
  <c r="P923" i="1"/>
  <c r="Q922" i="1"/>
  <c r="P922" i="1"/>
  <c r="Q921" i="1"/>
  <c r="P921" i="1"/>
  <c r="Q920" i="1"/>
  <c r="P920" i="1"/>
  <c r="Q919" i="1"/>
  <c r="P919" i="1"/>
  <c r="Q918" i="1"/>
  <c r="P918" i="1"/>
  <c r="Q917" i="1"/>
  <c r="P917" i="1"/>
  <c r="Q916" i="1"/>
  <c r="P916" i="1"/>
  <c r="Q915" i="1"/>
  <c r="P915" i="1"/>
  <c r="Q914" i="1"/>
  <c r="P914" i="1"/>
  <c r="Q913" i="1"/>
  <c r="P913" i="1"/>
  <c r="Q912" i="1"/>
  <c r="P912" i="1"/>
  <c r="Q911" i="1"/>
  <c r="P911" i="1"/>
  <c r="Q910" i="1"/>
  <c r="P910" i="1"/>
  <c r="Q909" i="1"/>
  <c r="P909" i="1"/>
  <c r="Q908" i="1"/>
  <c r="P908" i="1"/>
  <c r="Q907" i="1"/>
  <c r="P907" i="1"/>
  <c r="Q906" i="1"/>
  <c r="P906" i="1"/>
  <c r="Q905" i="1"/>
  <c r="P905" i="1"/>
  <c r="Q904" i="1"/>
  <c r="P904" i="1"/>
  <c r="Q903" i="1"/>
  <c r="P903" i="1"/>
  <c r="Q902" i="1"/>
  <c r="P902" i="1"/>
  <c r="Q901" i="1"/>
  <c r="P901" i="1"/>
  <c r="Q900" i="1"/>
  <c r="P900" i="1"/>
  <c r="Q899" i="1"/>
  <c r="P899" i="1"/>
  <c r="Q898" i="1"/>
  <c r="P898" i="1"/>
  <c r="Q897" i="1"/>
  <c r="P897" i="1"/>
  <c r="Q896" i="1"/>
  <c r="P896" i="1"/>
  <c r="Q895" i="1"/>
  <c r="P895" i="1"/>
  <c r="Q894" i="1"/>
  <c r="P894" i="1"/>
  <c r="Q893" i="1"/>
  <c r="P893" i="1"/>
  <c r="Q892" i="1"/>
  <c r="P892" i="1"/>
  <c r="Q891" i="1"/>
  <c r="P891" i="1"/>
  <c r="Q890" i="1"/>
  <c r="P890" i="1"/>
  <c r="Q889" i="1"/>
  <c r="P889" i="1"/>
  <c r="Q888" i="1"/>
  <c r="P888" i="1"/>
  <c r="Q887" i="1"/>
  <c r="P887" i="1"/>
  <c r="Q886" i="1"/>
  <c r="P886" i="1"/>
  <c r="Q885" i="1"/>
  <c r="P885" i="1"/>
  <c r="Q884" i="1"/>
  <c r="P884" i="1"/>
  <c r="Q883" i="1"/>
  <c r="P883" i="1"/>
  <c r="Q882" i="1"/>
  <c r="P882" i="1"/>
  <c r="Q881" i="1"/>
  <c r="P881" i="1"/>
  <c r="Q880" i="1"/>
  <c r="P880" i="1"/>
  <c r="Q879" i="1"/>
  <c r="P879" i="1"/>
  <c r="Q878" i="1"/>
  <c r="P878" i="1"/>
  <c r="Q877" i="1"/>
  <c r="P877" i="1"/>
  <c r="Q876" i="1"/>
  <c r="P876" i="1"/>
  <c r="Q875" i="1"/>
  <c r="P875" i="1"/>
  <c r="Q874" i="1"/>
  <c r="P874" i="1"/>
  <c r="Q873" i="1"/>
  <c r="P873" i="1"/>
  <c r="Q872" i="1"/>
  <c r="P872" i="1"/>
  <c r="Q871" i="1"/>
  <c r="P871" i="1"/>
  <c r="Q870" i="1"/>
  <c r="P870" i="1"/>
  <c r="Q869" i="1"/>
  <c r="P869" i="1"/>
  <c r="Q868" i="1"/>
  <c r="P868" i="1"/>
  <c r="Q867" i="1"/>
  <c r="P867" i="1"/>
  <c r="Q866" i="1"/>
  <c r="P866" i="1"/>
  <c r="Q865" i="1"/>
  <c r="P865" i="1"/>
  <c r="Q864" i="1"/>
  <c r="P864" i="1"/>
  <c r="Q863" i="1"/>
  <c r="P863" i="1"/>
  <c r="Q862" i="1"/>
  <c r="P862" i="1"/>
  <c r="Q861" i="1"/>
  <c r="P861" i="1"/>
  <c r="Q860" i="1"/>
  <c r="P860" i="1"/>
  <c r="Q859" i="1"/>
  <c r="P859" i="1"/>
  <c r="Q858" i="1"/>
  <c r="P858" i="1"/>
  <c r="Q857" i="1"/>
  <c r="P857" i="1"/>
  <c r="Q856" i="1"/>
  <c r="P856" i="1"/>
  <c r="Q855" i="1"/>
  <c r="P855" i="1"/>
  <c r="Q854" i="1"/>
  <c r="P854" i="1"/>
  <c r="Q853" i="1"/>
  <c r="P853" i="1"/>
  <c r="Q852" i="1"/>
  <c r="P852" i="1"/>
  <c r="Q851" i="1"/>
  <c r="P851" i="1"/>
  <c r="Q850" i="1"/>
  <c r="P850" i="1"/>
  <c r="Q849" i="1"/>
  <c r="P849" i="1"/>
  <c r="Q848" i="1"/>
  <c r="P848" i="1"/>
  <c r="Q847" i="1"/>
  <c r="P847" i="1"/>
  <c r="Q846" i="1"/>
  <c r="P846" i="1"/>
  <c r="Q845" i="1"/>
  <c r="P845" i="1"/>
  <c r="Q844" i="1"/>
  <c r="P844" i="1"/>
  <c r="Q843" i="1"/>
  <c r="P843" i="1"/>
  <c r="Q842" i="1"/>
  <c r="P842" i="1"/>
  <c r="Q841" i="1"/>
  <c r="P841" i="1"/>
  <c r="Q840" i="1"/>
  <c r="P840" i="1"/>
  <c r="Q839" i="1"/>
  <c r="P839" i="1"/>
  <c r="Q838" i="1"/>
  <c r="P838" i="1"/>
  <c r="Q837" i="1"/>
  <c r="P837" i="1"/>
  <c r="Q836" i="1"/>
  <c r="P836" i="1"/>
  <c r="Q835" i="1"/>
  <c r="P835" i="1"/>
  <c r="Q834" i="1"/>
  <c r="P834" i="1"/>
  <c r="Q833" i="1"/>
  <c r="P833" i="1"/>
  <c r="Q832" i="1"/>
  <c r="P832" i="1"/>
  <c r="Q831" i="1"/>
  <c r="P831" i="1"/>
  <c r="Q830" i="1"/>
  <c r="P830" i="1"/>
  <c r="Q829" i="1"/>
  <c r="P829" i="1"/>
  <c r="Q828" i="1"/>
  <c r="P828" i="1"/>
  <c r="Q827" i="1"/>
  <c r="P827" i="1"/>
  <c r="Q826" i="1"/>
  <c r="P826" i="1"/>
  <c r="Q825" i="1"/>
  <c r="P825" i="1"/>
  <c r="Q824" i="1"/>
  <c r="P824" i="1"/>
  <c r="Q823" i="1"/>
  <c r="P823" i="1"/>
  <c r="Q822" i="1"/>
  <c r="P822" i="1"/>
  <c r="Q821" i="1"/>
  <c r="P821" i="1"/>
  <c r="Q820" i="1"/>
  <c r="P820" i="1"/>
  <c r="Q819" i="1"/>
  <c r="P819" i="1"/>
  <c r="Q818" i="1"/>
  <c r="P818" i="1"/>
  <c r="Q817" i="1"/>
  <c r="P817" i="1"/>
  <c r="Q816" i="1"/>
  <c r="P816" i="1"/>
  <c r="Q815" i="1"/>
  <c r="P815" i="1"/>
  <c r="Q814" i="1"/>
  <c r="P814" i="1"/>
  <c r="Q813" i="1"/>
  <c r="P813" i="1"/>
  <c r="Q812" i="1"/>
  <c r="P812" i="1"/>
  <c r="Q811" i="1"/>
  <c r="P811" i="1"/>
  <c r="Q810" i="1"/>
  <c r="P810" i="1"/>
  <c r="Q809" i="1"/>
  <c r="P809" i="1"/>
  <c r="Q808" i="1"/>
  <c r="P808" i="1"/>
  <c r="Q807" i="1"/>
  <c r="P807" i="1"/>
  <c r="Q806" i="1"/>
  <c r="P806" i="1"/>
  <c r="Q805" i="1"/>
  <c r="P805" i="1"/>
  <c r="Q804" i="1"/>
  <c r="P804" i="1"/>
  <c r="Q803" i="1"/>
  <c r="P803" i="1"/>
  <c r="Q802" i="1"/>
  <c r="P802" i="1"/>
  <c r="Q801" i="1"/>
  <c r="P801" i="1"/>
  <c r="Q800" i="1"/>
  <c r="P800" i="1"/>
  <c r="Q799" i="1"/>
  <c r="P799" i="1"/>
  <c r="Q798" i="1"/>
  <c r="P798" i="1"/>
  <c r="Q797" i="1"/>
  <c r="P797" i="1"/>
  <c r="Q796" i="1"/>
  <c r="P796" i="1"/>
  <c r="Q795" i="1"/>
  <c r="P795" i="1"/>
  <c r="Q794" i="1"/>
  <c r="P794" i="1"/>
  <c r="Q793" i="1"/>
  <c r="P793" i="1"/>
  <c r="Q792" i="1"/>
  <c r="P792" i="1"/>
  <c r="Q791" i="1"/>
  <c r="P791" i="1"/>
  <c r="Q790" i="1"/>
  <c r="P790" i="1"/>
  <c r="Q789" i="1"/>
  <c r="P789" i="1"/>
  <c r="Q788" i="1"/>
  <c r="P788" i="1"/>
  <c r="Q787" i="1"/>
  <c r="P787" i="1"/>
  <c r="Q786" i="1"/>
  <c r="P786" i="1"/>
  <c r="Q785" i="1"/>
  <c r="P785" i="1"/>
  <c r="Q784" i="1"/>
  <c r="P784" i="1"/>
  <c r="Q783" i="1"/>
  <c r="P783" i="1"/>
  <c r="Q782" i="1"/>
  <c r="P782" i="1"/>
  <c r="Q781" i="1"/>
  <c r="P781" i="1"/>
  <c r="Q780" i="1"/>
  <c r="P780" i="1"/>
  <c r="Q779" i="1"/>
  <c r="P779" i="1"/>
  <c r="Q778" i="1"/>
  <c r="P778" i="1"/>
  <c r="Q777" i="1"/>
  <c r="P777" i="1"/>
  <c r="Q776" i="1"/>
  <c r="P776" i="1"/>
  <c r="Q775" i="1"/>
  <c r="P775" i="1"/>
  <c r="Q774" i="1"/>
  <c r="P774" i="1"/>
  <c r="Q773" i="1"/>
  <c r="P773" i="1"/>
  <c r="Q772" i="1"/>
  <c r="P772" i="1"/>
  <c r="Q771" i="1"/>
  <c r="P771" i="1"/>
  <c r="Q770" i="1"/>
  <c r="P770" i="1"/>
  <c r="Q769" i="1"/>
  <c r="P769" i="1"/>
  <c r="Q768" i="1"/>
  <c r="P768" i="1"/>
  <c r="Q767" i="1"/>
  <c r="P767" i="1"/>
  <c r="Q766" i="1"/>
  <c r="P766" i="1"/>
  <c r="Q765" i="1"/>
  <c r="P765" i="1"/>
  <c r="Q764" i="1"/>
  <c r="P764" i="1"/>
  <c r="Q763" i="1"/>
  <c r="P763" i="1"/>
  <c r="Q762" i="1"/>
  <c r="P762" i="1"/>
  <c r="Q761" i="1"/>
  <c r="P761" i="1"/>
  <c r="Q760" i="1"/>
  <c r="P760" i="1"/>
  <c r="Q759" i="1"/>
  <c r="P759" i="1"/>
  <c r="Q758" i="1"/>
  <c r="P758" i="1"/>
  <c r="Q757" i="1"/>
  <c r="P757" i="1"/>
  <c r="Q756" i="1"/>
  <c r="P756" i="1"/>
  <c r="Q755" i="1"/>
  <c r="P755" i="1"/>
  <c r="Q754" i="1"/>
  <c r="P754" i="1"/>
  <c r="Q753" i="1"/>
  <c r="P753" i="1"/>
  <c r="Q752" i="1"/>
  <c r="P752" i="1"/>
  <c r="Q751" i="1"/>
  <c r="P751" i="1"/>
  <c r="Q750" i="1"/>
  <c r="P750" i="1"/>
  <c r="Q749" i="1"/>
  <c r="P749" i="1"/>
  <c r="Q748" i="1"/>
  <c r="P748" i="1"/>
  <c r="Q747" i="1"/>
  <c r="P747" i="1"/>
  <c r="Q746" i="1"/>
  <c r="P746" i="1"/>
  <c r="Q745" i="1"/>
  <c r="P745" i="1"/>
  <c r="Q744" i="1"/>
  <c r="P744" i="1"/>
  <c r="Q743" i="1"/>
  <c r="P743" i="1"/>
  <c r="Q742" i="1"/>
  <c r="P742" i="1"/>
  <c r="Q741" i="1"/>
  <c r="P741" i="1"/>
  <c r="Q740" i="1"/>
  <c r="P740" i="1"/>
  <c r="Q739" i="1"/>
  <c r="P739" i="1"/>
  <c r="Q738" i="1"/>
  <c r="P738" i="1"/>
  <c r="Q737" i="1"/>
  <c r="P737" i="1"/>
  <c r="Q736" i="1"/>
  <c r="P736" i="1"/>
  <c r="Q735" i="1"/>
  <c r="P735" i="1"/>
  <c r="Q734" i="1"/>
  <c r="P734" i="1"/>
  <c r="Q733" i="1"/>
  <c r="P733" i="1"/>
  <c r="Q732" i="1"/>
  <c r="P732" i="1"/>
  <c r="Q731" i="1"/>
  <c r="P731" i="1"/>
  <c r="Q730" i="1"/>
  <c r="P730" i="1"/>
  <c r="Q729" i="1"/>
  <c r="P729" i="1"/>
  <c r="Q728" i="1"/>
  <c r="P728" i="1"/>
  <c r="Q727" i="1"/>
  <c r="P727" i="1"/>
  <c r="Q726" i="1"/>
  <c r="P726" i="1"/>
  <c r="Q725" i="1"/>
  <c r="P725" i="1"/>
  <c r="Q724" i="1"/>
  <c r="P724" i="1"/>
  <c r="Q723" i="1"/>
  <c r="P723" i="1"/>
  <c r="Q722" i="1"/>
  <c r="P722" i="1"/>
  <c r="Q721" i="1"/>
  <c r="P721" i="1"/>
  <c r="Q720" i="1"/>
  <c r="P720" i="1"/>
  <c r="Q719" i="1"/>
  <c r="P719" i="1"/>
  <c r="Q718" i="1"/>
  <c r="P718" i="1"/>
  <c r="Q717" i="1"/>
  <c r="P717" i="1"/>
  <c r="Q716" i="1"/>
  <c r="P716" i="1"/>
  <c r="Q715" i="1"/>
  <c r="P715" i="1"/>
  <c r="Q714" i="1"/>
  <c r="P714" i="1"/>
  <c r="Q713" i="1"/>
  <c r="P713" i="1"/>
  <c r="Q712" i="1"/>
  <c r="P712" i="1"/>
  <c r="Q711" i="1"/>
  <c r="P711" i="1"/>
  <c r="Q710" i="1"/>
  <c r="P710" i="1"/>
  <c r="Q709" i="1"/>
  <c r="P709" i="1"/>
  <c r="Q708" i="1"/>
  <c r="P708" i="1"/>
  <c r="Q707" i="1"/>
  <c r="P707" i="1"/>
  <c r="Q706" i="1"/>
  <c r="P706" i="1"/>
  <c r="Q705" i="1"/>
  <c r="P705" i="1"/>
  <c r="Q704" i="1"/>
  <c r="P704" i="1"/>
  <c r="Q703" i="1"/>
  <c r="P703" i="1"/>
  <c r="Q702" i="1"/>
  <c r="P702" i="1"/>
  <c r="Q701" i="1"/>
  <c r="P701" i="1"/>
  <c r="Q700" i="1"/>
  <c r="P700" i="1"/>
  <c r="Q699" i="1"/>
  <c r="P699" i="1"/>
  <c r="Q698" i="1"/>
  <c r="P698" i="1"/>
  <c r="Q697" i="1"/>
  <c r="P697" i="1"/>
  <c r="Q696" i="1"/>
  <c r="P696" i="1"/>
  <c r="Q695" i="1"/>
  <c r="P695" i="1"/>
  <c r="Q694" i="1"/>
  <c r="P694" i="1"/>
  <c r="Q693" i="1"/>
  <c r="P693" i="1"/>
  <c r="Q692" i="1"/>
  <c r="P692" i="1"/>
  <c r="Q691" i="1"/>
  <c r="P691" i="1"/>
  <c r="Q690" i="1"/>
  <c r="P690" i="1"/>
  <c r="Q689" i="1"/>
  <c r="P689" i="1"/>
  <c r="Q688" i="1"/>
  <c r="P688" i="1"/>
  <c r="Q687" i="1"/>
  <c r="P687" i="1"/>
  <c r="Q686" i="1"/>
  <c r="P686" i="1"/>
  <c r="Q685" i="1"/>
  <c r="P685" i="1"/>
  <c r="Q684" i="1"/>
  <c r="P684" i="1"/>
  <c r="Q683" i="1"/>
  <c r="P683" i="1"/>
  <c r="Q682" i="1"/>
  <c r="P682" i="1"/>
  <c r="Q681" i="1"/>
  <c r="P681" i="1"/>
  <c r="Q680" i="1"/>
  <c r="P680" i="1"/>
  <c r="Q679" i="1"/>
  <c r="P679" i="1"/>
  <c r="Q678" i="1"/>
  <c r="P678" i="1"/>
  <c r="Q677" i="1"/>
  <c r="P677" i="1"/>
  <c r="Q676" i="1"/>
  <c r="P676" i="1"/>
  <c r="Q675" i="1"/>
  <c r="P675" i="1"/>
  <c r="Q674" i="1"/>
  <c r="P674" i="1"/>
  <c r="Q673" i="1"/>
  <c r="P673" i="1"/>
  <c r="Q672" i="1"/>
  <c r="P672" i="1"/>
  <c r="Q671" i="1"/>
  <c r="P671" i="1"/>
  <c r="Q670" i="1"/>
  <c r="P670" i="1"/>
  <c r="Q669" i="1"/>
  <c r="P669" i="1"/>
  <c r="Q668" i="1"/>
  <c r="P668" i="1"/>
  <c r="Q667" i="1"/>
  <c r="P667" i="1"/>
  <c r="Q666" i="1"/>
  <c r="P666" i="1"/>
  <c r="Q665" i="1"/>
  <c r="P665" i="1"/>
  <c r="Q664" i="1"/>
  <c r="P664" i="1"/>
  <c r="Q663" i="1"/>
  <c r="P663" i="1"/>
  <c r="Q662" i="1"/>
  <c r="P662" i="1"/>
  <c r="Q661" i="1"/>
  <c r="P661" i="1"/>
  <c r="Q660" i="1"/>
  <c r="P660" i="1"/>
  <c r="Q659" i="1"/>
  <c r="P659" i="1"/>
  <c r="Q658" i="1"/>
  <c r="P658" i="1"/>
  <c r="Q657" i="1"/>
  <c r="P657" i="1"/>
  <c r="Q656" i="1"/>
  <c r="P656" i="1"/>
  <c r="Q655" i="1"/>
  <c r="P655" i="1"/>
  <c r="Q654" i="1"/>
  <c r="P654" i="1"/>
  <c r="Q653" i="1"/>
  <c r="P653" i="1"/>
  <c r="Q652" i="1"/>
  <c r="P652" i="1"/>
  <c r="Q651" i="1"/>
  <c r="P651" i="1"/>
  <c r="Q650" i="1"/>
  <c r="P650" i="1"/>
  <c r="Q649" i="1"/>
  <c r="P649" i="1"/>
  <c r="Q648" i="1"/>
  <c r="P648" i="1"/>
  <c r="Q647" i="1"/>
  <c r="P647" i="1"/>
  <c r="Q646" i="1"/>
  <c r="P646" i="1"/>
  <c r="Q645" i="1"/>
  <c r="P645" i="1"/>
  <c r="Q644" i="1"/>
  <c r="P644" i="1"/>
  <c r="Q643" i="1"/>
  <c r="P643" i="1"/>
  <c r="Q642" i="1"/>
  <c r="P642" i="1"/>
  <c r="Q641" i="1"/>
  <c r="P641" i="1"/>
  <c r="Q640" i="1"/>
  <c r="P640" i="1"/>
  <c r="Q639" i="1"/>
  <c r="P639" i="1"/>
  <c r="Q638" i="1"/>
  <c r="P638" i="1"/>
  <c r="Q637" i="1"/>
  <c r="P637" i="1"/>
  <c r="Q636" i="1"/>
  <c r="P636" i="1"/>
  <c r="Q635" i="1"/>
  <c r="P635" i="1"/>
  <c r="Q634" i="1"/>
  <c r="P634" i="1"/>
  <c r="Q633" i="1"/>
  <c r="P633" i="1"/>
  <c r="Q632" i="1"/>
  <c r="P632" i="1"/>
  <c r="Q631" i="1"/>
  <c r="P631" i="1"/>
  <c r="Q630" i="1"/>
  <c r="P630" i="1"/>
  <c r="Q629" i="1"/>
  <c r="P629" i="1"/>
  <c r="Q628" i="1"/>
  <c r="P628" i="1"/>
  <c r="Q627" i="1"/>
  <c r="P627" i="1"/>
  <c r="Q626" i="1"/>
  <c r="P626" i="1"/>
  <c r="Q625" i="1"/>
  <c r="P625" i="1"/>
  <c r="Q624" i="1"/>
  <c r="P624" i="1"/>
  <c r="Q623" i="1"/>
  <c r="P623" i="1"/>
  <c r="Q622" i="1"/>
  <c r="P622" i="1"/>
  <c r="Q621" i="1"/>
  <c r="P621" i="1"/>
  <c r="Q620" i="1"/>
  <c r="P620" i="1"/>
  <c r="Q619" i="1"/>
  <c r="P619" i="1"/>
  <c r="Q618" i="1"/>
  <c r="P618" i="1"/>
  <c r="Q617" i="1"/>
  <c r="P617" i="1"/>
  <c r="Q616" i="1"/>
  <c r="P616" i="1"/>
  <c r="Q615" i="1"/>
  <c r="P615" i="1"/>
  <c r="Q614" i="1"/>
  <c r="P614" i="1"/>
  <c r="Q613" i="1"/>
  <c r="P613" i="1"/>
  <c r="Q612" i="1"/>
  <c r="P612" i="1"/>
  <c r="Q611" i="1"/>
  <c r="P611" i="1"/>
  <c r="Q610" i="1"/>
  <c r="P610" i="1"/>
  <c r="Q609" i="1"/>
  <c r="P609" i="1"/>
  <c r="Q608" i="1"/>
  <c r="P608" i="1"/>
  <c r="Q607" i="1"/>
  <c r="P607" i="1"/>
  <c r="Q606" i="1"/>
  <c r="P606" i="1"/>
  <c r="Q605" i="1"/>
  <c r="P605" i="1"/>
  <c r="Q604" i="1"/>
  <c r="P604" i="1"/>
  <c r="Q603" i="1"/>
  <c r="P603" i="1"/>
  <c r="Q602" i="1"/>
  <c r="P602" i="1"/>
  <c r="Q601" i="1"/>
  <c r="P601" i="1"/>
  <c r="Q600" i="1"/>
  <c r="P600" i="1"/>
  <c r="Q599" i="1"/>
  <c r="P599" i="1"/>
  <c r="Q598" i="1"/>
  <c r="P598" i="1"/>
  <c r="Q597" i="1"/>
  <c r="P597" i="1"/>
  <c r="Q596" i="1"/>
  <c r="P596" i="1"/>
  <c r="Q595" i="1"/>
  <c r="P595" i="1"/>
  <c r="Q594" i="1"/>
  <c r="P594" i="1"/>
  <c r="Q593" i="1"/>
  <c r="P593" i="1"/>
  <c r="Q592" i="1"/>
  <c r="P592" i="1"/>
  <c r="Q591" i="1"/>
  <c r="P591" i="1"/>
  <c r="Q590" i="1"/>
  <c r="P590" i="1"/>
  <c r="Q589" i="1"/>
  <c r="P589" i="1"/>
  <c r="Q588" i="1"/>
  <c r="P588" i="1"/>
  <c r="Q587" i="1"/>
  <c r="P587" i="1"/>
  <c r="Q586" i="1"/>
  <c r="P586" i="1"/>
  <c r="Q585" i="1"/>
  <c r="P585" i="1"/>
  <c r="Q584" i="1"/>
  <c r="P584" i="1"/>
  <c r="Q583" i="1"/>
  <c r="P583" i="1"/>
  <c r="Q582" i="1"/>
  <c r="P582" i="1"/>
  <c r="Q581" i="1"/>
  <c r="P581" i="1"/>
  <c r="Q580" i="1"/>
  <c r="P580" i="1"/>
  <c r="Q579" i="1"/>
  <c r="P579" i="1"/>
  <c r="Q578" i="1"/>
  <c r="P578" i="1"/>
  <c r="Q577" i="1"/>
  <c r="P577" i="1"/>
  <c r="Q576" i="1"/>
  <c r="P576" i="1"/>
  <c r="Q575" i="1"/>
  <c r="P575" i="1"/>
  <c r="Q574" i="1"/>
  <c r="P574" i="1"/>
  <c r="Q573" i="1"/>
  <c r="P573" i="1"/>
  <c r="Q572" i="1"/>
  <c r="P572" i="1"/>
  <c r="Q571" i="1"/>
  <c r="P571" i="1"/>
  <c r="Q570" i="1"/>
  <c r="P570" i="1"/>
  <c r="Q569" i="1"/>
  <c r="P569" i="1"/>
  <c r="Q568" i="1"/>
  <c r="P568" i="1"/>
  <c r="Q567" i="1"/>
  <c r="P567" i="1"/>
  <c r="Q566" i="1"/>
  <c r="P566" i="1"/>
  <c r="Q565" i="1"/>
  <c r="P565" i="1"/>
  <c r="Q564" i="1"/>
  <c r="P564" i="1"/>
  <c r="Q563" i="1"/>
  <c r="P563" i="1"/>
  <c r="Q562" i="1"/>
  <c r="P562" i="1"/>
  <c r="Q561" i="1"/>
  <c r="P561" i="1"/>
  <c r="Q560" i="1"/>
  <c r="P560" i="1"/>
  <c r="Q559" i="1"/>
  <c r="P559" i="1"/>
  <c r="Q558" i="1"/>
  <c r="P558" i="1"/>
  <c r="Q557" i="1"/>
  <c r="P557" i="1"/>
  <c r="Q556" i="1"/>
  <c r="P556" i="1"/>
  <c r="Q555" i="1"/>
  <c r="P555" i="1"/>
  <c r="Q554" i="1"/>
  <c r="P554" i="1"/>
  <c r="Q553" i="1"/>
  <c r="P553" i="1"/>
  <c r="Q552" i="1"/>
  <c r="P552" i="1"/>
  <c r="Q551" i="1"/>
  <c r="P551" i="1"/>
  <c r="Q550" i="1"/>
  <c r="P550" i="1"/>
  <c r="Q549" i="1"/>
  <c r="P549" i="1"/>
  <c r="Q548" i="1"/>
  <c r="P548" i="1"/>
  <c r="Q547" i="1"/>
  <c r="P547" i="1"/>
  <c r="Q546" i="1"/>
  <c r="P546" i="1"/>
  <c r="Q545" i="1"/>
  <c r="P545" i="1"/>
  <c r="Q544" i="1"/>
  <c r="P544" i="1"/>
  <c r="Q543" i="1"/>
  <c r="P543" i="1"/>
  <c r="Q542" i="1"/>
  <c r="P542" i="1"/>
  <c r="Q541" i="1"/>
  <c r="P541" i="1"/>
  <c r="Q540" i="1"/>
  <c r="P540" i="1"/>
  <c r="Q539" i="1"/>
  <c r="P539" i="1"/>
  <c r="Q538" i="1"/>
  <c r="P538" i="1"/>
  <c r="Q537" i="1"/>
  <c r="P537" i="1"/>
  <c r="Q536" i="1"/>
  <c r="P536" i="1"/>
  <c r="Q535" i="1"/>
  <c r="P535" i="1"/>
  <c r="Q534" i="1"/>
  <c r="P534" i="1"/>
  <c r="Q533" i="1"/>
  <c r="P533" i="1"/>
  <c r="Q532" i="1"/>
  <c r="P532" i="1"/>
  <c r="Q531" i="1"/>
  <c r="P531" i="1"/>
  <c r="Q530" i="1"/>
  <c r="P530" i="1"/>
  <c r="Q529" i="1"/>
  <c r="P529" i="1"/>
  <c r="Q528" i="1"/>
  <c r="P528" i="1"/>
  <c r="Q527" i="1"/>
  <c r="P527" i="1"/>
  <c r="Q526" i="1"/>
  <c r="P526" i="1"/>
  <c r="Q525" i="1"/>
  <c r="P525" i="1"/>
  <c r="Q524" i="1"/>
  <c r="P524" i="1"/>
  <c r="Q523" i="1"/>
  <c r="P523" i="1"/>
  <c r="Q522" i="1"/>
  <c r="P522" i="1"/>
  <c r="Q521" i="1"/>
  <c r="P521" i="1"/>
  <c r="Q520" i="1"/>
  <c r="P520" i="1"/>
  <c r="Q519" i="1"/>
  <c r="P519" i="1"/>
  <c r="Q518" i="1"/>
  <c r="P518" i="1"/>
  <c r="Q517" i="1"/>
  <c r="P517" i="1"/>
  <c r="Q516" i="1"/>
  <c r="P516" i="1"/>
  <c r="Q515" i="1"/>
  <c r="P515" i="1"/>
  <c r="Q514" i="1"/>
  <c r="P514" i="1"/>
  <c r="Q513" i="1"/>
  <c r="P513" i="1"/>
  <c r="Q512" i="1"/>
  <c r="P512" i="1"/>
  <c r="Q511" i="1"/>
  <c r="P511" i="1"/>
  <c r="Q510" i="1"/>
  <c r="P510" i="1"/>
  <c r="Q509" i="1"/>
  <c r="P509" i="1"/>
  <c r="Q508" i="1"/>
  <c r="P508" i="1"/>
  <c r="Q507" i="1"/>
  <c r="P507" i="1"/>
  <c r="Q506" i="1"/>
  <c r="P506" i="1"/>
  <c r="Q505" i="1"/>
  <c r="P505" i="1"/>
  <c r="Q504" i="1"/>
  <c r="P504" i="1"/>
  <c r="Q503" i="1"/>
  <c r="P503" i="1"/>
  <c r="Q502" i="1"/>
  <c r="P502" i="1"/>
  <c r="Q501" i="1"/>
  <c r="P501" i="1"/>
  <c r="Q500" i="1"/>
  <c r="P500" i="1"/>
  <c r="Q499" i="1"/>
  <c r="P499" i="1"/>
  <c r="Q498" i="1"/>
  <c r="P498" i="1"/>
  <c r="Q497" i="1"/>
  <c r="P497" i="1"/>
  <c r="Q496" i="1"/>
  <c r="P496" i="1"/>
  <c r="Q495" i="1"/>
  <c r="P495" i="1"/>
  <c r="Q494" i="1"/>
  <c r="P494" i="1"/>
  <c r="Q493" i="1"/>
  <c r="P493" i="1"/>
  <c r="Q492" i="1"/>
  <c r="P492" i="1"/>
  <c r="Q491" i="1"/>
  <c r="P491" i="1"/>
  <c r="Q490" i="1"/>
  <c r="P490" i="1"/>
  <c r="Q489" i="1"/>
  <c r="P489" i="1"/>
  <c r="Q488" i="1"/>
  <c r="P488" i="1"/>
  <c r="Q487" i="1"/>
  <c r="P487" i="1"/>
  <c r="Q486" i="1"/>
  <c r="P486" i="1"/>
  <c r="Q485" i="1"/>
  <c r="P485" i="1"/>
  <c r="Q484" i="1"/>
  <c r="P484" i="1"/>
  <c r="Q483" i="1"/>
  <c r="P483" i="1"/>
  <c r="Q482" i="1"/>
  <c r="P482" i="1"/>
  <c r="Q481" i="1"/>
  <c r="P481" i="1"/>
  <c r="Q480" i="1"/>
  <c r="P480" i="1"/>
  <c r="Q479" i="1"/>
  <c r="P479" i="1"/>
  <c r="Q478" i="1"/>
  <c r="P478" i="1"/>
  <c r="Q477" i="1"/>
  <c r="P477" i="1"/>
  <c r="Q476" i="1"/>
  <c r="P476" i="1"/>
  <c r="Q475" i="1"/>
  <c r="P475" i="1"/>
  <c r="Q474" i="1"/>
  <c r="P474" i="1"/>
  <c r="Q473" i="1"/>
  <c r="P473" i="1"/>
  <c r="Q472" i="1"/>
  <c r="P472" i="1"/>
  <c r="Q471" i="1"/>
  <c r="P471" i="1"/>
  <c r="Q470" i="1"/>
  <c r="P470" i="1"/>
  <c r="Q469" i="1"/>
  <c r="P469" i="1"/>
  <c r="Q468" i="1"/>
  <c r="P468" i="1"/>
  <c r="Q467" i="1"/>
  <c r="P467" i="1"/>
  <c r="Q466" i="1"/>
  <c r="P466" i="1"/>
  <c r="Q465" i="1"/>
  <c r="P465" i="1"/>
  <c r="Q464" i="1"/>
  <c r="P464" i="1"/>
  <c r="Q463" i="1"/>
  <c r="P463" i="1"/>
  <c r="Q462" i="1"/>
  <c r="P462" i="1"/>
  <c r="Q461" i="1"/>
  <c r="P461" i="1"/>
  <c r="Q460" i="1"/>
  <c r="P460" i="1"/>
  <c r="Q459" i="1"/>
  <c r="P459" i="1"/>
  <c r="Q458" i="1"/>
  <c r="P458" i="1"/>
  <c r="Q457" i="1"/>
  <c r="P457" i="1"/>
  <c r="Q456" i="1"/>
  <c r="P456" i="1"/>
  <c r="Q455" i="1"/>
  <c r="P455" i="1"/>
  <c r="Q454" i="1"/>
  <c r="P454" i="1"/>
  <c r="Q453" i="1"/>
  <c r="P453" i="1"/>
  <c r="Q452" i="1"/>
  <c r="P452" i="1"/>
  <c r="Q451" i="1"/>
  <c r="P451" i="1"/>
  <c r="Q450" i="1"/>
  <c r="P450" i="1"/>
  <c r="Q449" i="1"/>
  <c r="P449" i="1"/>
  <c r="Q448" i="1"/>
  <c r="P448" i="1"/>
  <c r="Q447" i="1"/>
  <c r="P447" i="1"/>
  <c r="Q446" i="1"/>
  <c r="P446" i="1"/>
  <c r="Q445" i="1"/>
  <c r="P445" i="1"/>
  <c r="Q444" i="1"/>
  <c r="P444" i="1"/>
  <c r="Q443" i="1"/>
  <c r="P443" i="1"/>
  <c r="Q442" i="1"/>
  <c r="P442" i="1"/>
  <c r="Q441" i="1"/>
  <c r="P441" i="1"/>
  <c r="Q440" i="1"/>
  <c r="P440" i="1"/>
  <c r="Q439" i="1"/>
  <c r="P439" i="1"/>
  <c r="Q438" i="1"/>
  <c r="P438" i="1"/>
  <c r="Q437" i="1"/>
  <c r="P437" i="1"/>
  <c r="Q436" i="1"/>
  <c r="P436" i="1"/>
  <c r="Q435" i="1"/>
  <c r="P435" i="1"/>
  <c r="Q434" i="1"/>
  <c r="P434" i="1"/>
  <c r="Q433" i="1"/>
  <c r="P433" i="1"/>
  <c r="Q432" i="1"/>
  <c r="P432" i="1"/>
  <c r="Q431" i="1"/>
  <c r="P431" i="1"/>
  <c r="Q430" i="1"/>
  <c r="P430" i="1"/>
  <c r="Q429" i="1"/>
  <c r="P429" i="1"/>
  <c r="Q428" i="1"/>
  <c r="P428" i="1"/>
  <c r="Q427" i="1"/>
  <c r="P427" i="1"/>
  <c r="Q426" i="1"/>
  <c r="P426" i="1"/>
  <c r="Q425" i="1"/>
  <c r="P425" i="1"/>
  <c r="Q424" i="1"/>
  <c r="P424" i="1"/>
  <c r="Q423" i="1"/>
  <c r="P423" i="1"/>
  <c r="Q422" i="1"/>
  <c r="P422" i="1"/>
  <c r="Q421" i="1"/>
  <c r="P421" i="1"/>
  <c r="Q420" i="1"/>
  <c r="P420" i="1"/>
  <c r="Q419" i="1"/>
  <c r="P419" i="1"/>
  <c r="Q418" i="1"/>
  <c r="P418" i="1"/>
  <c r="Q417" i="1"/>
  <c r="P417" i="1"/>
  <c r="Q416" i="1"/>
  <c r="P416" i="1"/>
  <c r="Q415" i="1"/>
  <c r="P415" i="1"/>
  <c r="Q414" i="1"/>
  <c r="P414" i="1"/>
  <c r="Q413" i="1"/>
  <c r="P413" i="1"/>
  <c r="Q412" i="1"/>
  <c r="P412" i="1"/>
  <c r="Q411" i="1"/>
  <c r="P411" i="1"/>
  <c r="Q410" i="1"/>
  <c r="P410" i="1"/>
  <c r="Q409" i="1"/>
  <c r="P409" i="1"/>
  <c r="Q408" i="1"/>
  <c r="P408" i="1"/>
  <c r="Q407" i="1"/>
  <c r="P407" i="1"/>
  <c r="Q406" i="1"/>
  <c r="P406" i="1"/>
  <c r="Q405" i="1"/>
  <c r="P405" i="1"/>
  <c r="Q404" i="1"/>
  <c r="P404" i="1"/>
  <c r="Q403" i="1"/>
  <c r="P403" i="1"/>
  <c r="Q402" i="1"/>
  <c r="P402" i="1"/>
  <c r="Q401" i="1"/>
  <c r="P401" i="1"/>
  <c r="Q400" i="1"/>
  <c r="P400" i="1"/>
  <c r="Q399" i="1"/>
  <c r="P399" i="1"/>
  <c r="Q398" i="1"/>
  <c r="P398" i="1"/>
  <c r="Q397" i="1"/>
  <c r="P397" i="1"/>
  <c r="Q396" i="1"/>
  <c r="P396" i="1"/>
  <c r="Q395" i="1"/>
  <c r="P395" i="1"/>
  <c r="Q394" i="1"/>
  <c r="P394" i="1"/>
  <c r="Q393" i="1"/>
  <c r="P393" i="1"/>
  <c r="Q392" i="1"/>
  <c r="P392" i="1"/>
  <c r="Q391" i="1"/>
  <c r="P391" i="1"/>
  <c r="Q390" i="1"/>
  <c r="P390" i="1"/>
  <c r="Q389" i="1"/>
  <c r="P389" i="1"/>
  <c r="Q388" i="1"/>
  <c r="P388" i="1"/>
  <c r="Q387" i="1"/>
  <c r="P387" i="1"/>
  <c r="Q386" i="1"/>
  <c r="P386" i="1"/>
  <c r="Q385" i="1"/>
  <c r="P385" i="1"/>
  <c r="Q384" i="1"/>
  <c r="P384" i="1"/>
  <c r="Q383" i="1"/>
  <c r="P383" i="1"/>
  <c r="Q382" i="1"/>
  <c r="P382" i="1"/>
  <c r="Q381" i="1"/>
  <c r="P381" i="1"/>
  <c r="Q380" i="1"/>
  <c r="P380" i="1"/>
  <c r="Q379" i="1"/>
  <c r="P379" i="1"/>
  <c r="Q378" i="1"/>
  <c r="P378" i="1"/>
  <c r="Q377" i="1"/>
  <c r="P377" i="1"/>
  <c r="Q376" i="1"/>
  <c r="P376" i="1"/>
  <c r="Q375" i="1"/>
  <c r="P375" i="1"/>
  <c r="Q374" i="1"/>
  <c r="P374" i="1"/>
  <c r="Q373" i="1"/>
  <c r="P373" i="1"/>
  <c r="Q372" i="1"/>
  <c r="P372" i="1"/>
  <c r="Q371" i="1"/>
  <c r="P371" i="1"/>
  <c r="Q370" i="1"/>
  <c r="P370" i="1"/>
  <c r="Q369" i="1"/>
  <c r="P369" i="1"/>
  <c r="Q368" i="1"/>
  <c r="P368" i="1"/>
  <c r="Q367" i="1"/>
  <c r="P367" i="1"/>
  <c r="Q366" i="1"/>
  <c r="P366" i="1"/>
  <c r="Q365" i="1"/>
  <c r="P365" i="1"/>
  <c r="Q364" i="1"/>
  <c r="P364" i="1"/>
  <c r="Q363" i="1"/>
  <c r="P363" i="1"/>
  <c r="Q362" i="1"/>
  <c r="P362" i="1"/>
  <c r="Q361" i="1"/>
  <c r="P361" i="1"/>
  <c r="Q360" i="1"/>
  <c r="P360" i="1"/>
  <c r="Q359" i="1"/>
  <c r="P359" i="1"/>
  <c r="Q358" i="1"/>
  <c r="P358" i="1"/>
  <c r="Q357" i="1"/>
  <c r="P357" i="1"/>
  <c r="Q356" i="1"/>
  <c r="P356" i="1"/>
  <c r="Q355" i="1"/>
  <c r="P355" i="1"/>
  <c r="Q354" i="1"/>
  <c r="P354" i="1"/>
  <c r="Q353" i="1"/>
  <c r="P353" i="1"/>
  <c r="Q352" i="1"/>
  <c r="P352" i="1"/>
  <c r="Q351" i="1"/>
  <c r="P351" i="1"/>
  <c r="Q350" i="1"/>
  <c r="P350" i="1"/>
  <c r="Q349" i="1"/>
  <c r="P349" i="1"/>
  <c r="Q348" i="1"/>
  <c r="P348" i="1"/>
  <c r="Q347" i="1"/>
  <c r="P347" i="1"/>
  <c r="Q346" i="1"/>
  <c r="P346" i="1"/>
  <c r="Q345" i="1"/>
  <c r="P345" i="1"/>
  <c r="Q344" i="1"/>
  <c r="P344" i="1"/>
  <c r="Q343" i="1"/>
  <c r="P343" i="1"/>
  <c r="Q342" i="1"/>
  <c r="P342" i="1"/>
  <c r="Q341" i="1"/>
  <c r="P341" i="1"/>
  <c r="Q340" i="1"/>
  <c r="P340" i="1"/>
  <c r="Q339" i="1"/>
  <c r="P339" i="1"/>
  <c r="Q338" i="1"/>
  <c r="P338" i="1"/>
  <c r="Q337" i="1"/>
  <c r="P337" i="1"/>
  <c r="Q336" i="1"/>
  <c r="P336" i="1"/>
  <c r="Q335" i="1"/>
  <c r="P335" i="1"/>
  <c r="Q334" i="1"/>
  <c r="P334" i="1"/>
  <c r="Q333" i="1"/>
  <c r="P333" i="1"/>
  <c r="Q332" i="1"/>
  <c r="P332" i="1"/>
  <c r="Q331" i="1"/>
  <c r="P331" i="1"/>
  <c r="Q330" i="1"/>
  <c r="P330" i="1"/>
  <c r="Q329" i="1"/>
  <c r="P329" i="1"/>
  <c r="Q328" i="1"/>
  <c r="P328" i="1"/>
  <c r="Q327" i="1"/>
  <c r="P327" i="1"/>
  <c r="Q326" i="1"/>
  <c r="P326" i="1"/>
  <c r="Q325" i="1"/>
  <c r="P325" i="1"/>
  <c r="Q324" i="1"/>
  <c r="P324" i="1"/>
  <c r="Q323" i="1"/>
  <c r="P323" i="1"/>
  <c r="Q322" i="1"/>
  <c r="P322" i="1"/>
  <c r="Q321" i="1"/>
  <c r="P321" i="1"/>
  <c r="Q320" i="1"/>
  <c r="P320" i="1"/>
  <c r="Q319" i="1"/>
  <c r="P319" i="1"/>
  <c r="Q318" i="1"/>
  <c r="P318" i="1"/>
  <c r="Q317" i="1"/>
  <c r="P317" i="1"/>
  <c r="Q316" i="1"/>
  <c r="P316" i="1"/>
  <c r="Q315" i="1"/>
  <c r="P315" i="1"/>
  <c r="Q314" i="1"/>
  <c r="P314" i="1"/>
  <c r="Q313" i="1"/>
  <c r="P313" i="1"/>
  <c r="Q312" i="1"/>
  <c r="P312" i="1"/>
  <c r="Q311" i="1"/>
  <c r="P311" i="1"/>
  <c r="Q310" i="1"/>
  <c r="P310" i="1"/>
  <c r="Q309" i="1"/>
  <c r="P309" i="1"/>
  <c r="Q308" i="1"/>
  <c r="P308" i="1"/>
  <c r="Q307" i="1"/>
  <c r="P307" i="1"/>
  <c r="Q306" i="1"/>
  <c r="P306" i="1"/>
  <c r="Q305" i="1"/>
  <c r="P305" i="1"/>
  <c r="Q304" i="1"/>
  <c r="P304" i="1"/>
  <c r="Q303" i="1"/>
  <c r="P303" i="1"/>
  <c r="Q302" i="1"/>
  <c r="P302" i="1"/>
  <c r="Q301" i="1"/>
  <c r="P301" i="1"/>
  <c r="Q300" i="1"/>
  <c r="P300" i="1"/>
  <c r="Q299" i="1"/>
  <c r="P299" i="1"/>
  <c r="Q298" i="1"/>
  <c r="P298" i="1"/>
  <c r="Q297" i="1"/>
  <c r="P297" i="1"/>
  <c r="Q296" i="1"/>
  <c r="P296" i="1"/>
  <c r="Q295" i="1"/>
  <c r="P295" i="1"/>
  <c r="Q294" i="1"/>
  <c r="P294" i="1"/>
  <c r="Q293" i="1"/>
  <c r="P293" i="1"/>
  <c r="Q292" i="1"/>
  <c r="P292" i="1"/>
  <c r="Q291" i="1"/>
  <c r="P291" i="1"/>
  <c r="Q290" i="1"/>
  <c r="P290" i="1"/>
  <c r="Q289" i="1"/>
  <c r="P289" i="1"/>
  <c r="Q288" i="1"/>
  <c r="P288" i="1"/>
  <c r="Q287" i="1"/>
  <c r="P287" i="1"/>
  <c r="Q286" i="1"/>
  <c r="P286" i="1"/>
  <c r="Q285" i="1"/>
  <c r="P285" i="1"/>
  <c r="Q284" i="1"/>
  <c r="P284" i="1"/>
  <c r="Q283" i="1"/>
  <c r="P283" i="1"/>
  <c r="Q282" i="1"/>
  <c r="P282" i="1"/>
  <c r="Q281" i="1"/>
  <c r="P281" i="1"/>
  <c r="Q280" i="1"/>
  <c r="P280" i="1"/>
  <c r="Q279" i="1"/>
  <c r="P279" i="1"/>
  <c r="Q278" i="1"/>
  <c r="P278" i="1"/>
  <c r="Q277" i="1"/>
  <c r="P277" i="1"/>
  <c r="Q276" i="1"/>
  <c r="P276" i="1"/>
  <c r="Q275" i="1"/>
  <c r="P275" i="1"/>
  <c r="Q274" i="1"/>
  <c r="P274" i="1"/>
  <c r="Q273" i="1"/>
  <c r="P273" i="1"/>
  <c r="Q272" i="1"/>
  <c r="P272" i="1"/>
  <c r="Q271" i="1"/>
  <c r="P271" i="1"/>
  <c r="Q270" i="1"/>
  <c r="P270" i="1"/>
  <c r="Q269" i="1"/>
  <c r="P269" i="1"/>
  <c r="Q268" i="1"/>
  <c r="P268" i="1"/>
  <c r="Q267" i="1"/>
  <c r="P267" i="1"/>
  <c r="Q266" i="1"/>
  <c r="P266" i="1"/>
  <c r="Q265" i="1"/>
  <c r="P265" i="1"/>
  <c r="Q264" i="1"/>
  <c r="P264" i="1"/>
  <c r="Q263" i="1"/>
  <c r="P263" i="1"/>
  <c r="Q262" i="1"/>
  <c r="P262" i="1"/>
  <c r="Q261" i="1"/>
  <c r="P261" i="1"/>
  <c r="Q260" i="1"/>
  <c r="P260" i="1"/>
  <c r="Q259" i="1"/>
  <c r="P259" i="1"/>
  <c r="Q258" i="1"/>
  <c r="P258" i="1"/>
  <c r="Q257" i="1"/>
  <c r="P257" i="1"/>
  <c r="Q256" i="1"/>
  <c r="P256" i="1"/>
  <c r="Q255" i="1"/>
  <c r="P255" i="1"/>
  <c r="Q254" i="1"/>
  <c r="P254" i="1"/>
  <c r="Q253" i="1"/>
  <c r="P253" i="1"/>
  <c r="Q252" i="1"/>
  <c r="P252" i="1"/>
  <c r="Q251" i="1"/>
  <c r="P251" i="1"/>
  <c r="Q250" i="1"/>
  <c r="P250" i="1"/>
  <c r="Q249" i="1"/>
  <c r="P249" i="1"/>
  <c r="Q248" i="1"/>
  <c r="P248" i="1"/>
  <c r="Q247" i="1"/>
  <c r="P247" i="1"/>
  <c r="Q246" i="1"/>
  <c r="P246" i="1"/>
  <c r="Q245" i="1"/>
  <c r="P245" i="1"/>
  <c r="Q244" i="1"/>
  <c r="P244" i="1"/>
  <c r="Q243" i="1"/>
  <c r="P243" i="1"/>
  <c r="Q242" i="1"/>
  <c r="P242" i="1"/>
  <c r="Q241" i="1"/>
  <c r="P241" i="1"/>
  <c r="Q240" i="1"/>
  <c r="P240" i="1"/>
  <c r="Q239" i="1"/>
  <c r="P239" i="1"/>
  <c r="Q238" i="1"/>
  <c r="P238" i="1"/>
  <c r="Q237" i="1"/>
  <c r="P237" i="1"/>
  <c r="Q236" i="1"/>
  <c r="P236" i="1"/>
  <c r="Q235" i="1"/>
  <c r="P235" i="1"/>
  <c r="Q234" i="1"/>
  <c r="P234" i="1"/>
  <c r="Q233" i="1"/>
  <c r="P233" i="1"/>
  <c r="Q232" i="1"/>
  <c r="P232" i="1"/>
  <c r="Q231" i="1"/>
  <c r="P231" i="1"/>
  <c r="Q230" i="1"/>
  <c r="P230" i="1"/>
  <c r="Q229" i="1"/>
  <c r="P229" i="1"/>
  <c r="Q228" i="1"/>
  <c r="P228" i="1"/>
  <c r="Q227" i="1"/>
  <c r="P227" i="1"/>
  <c r="Q226" i="1"/>
  <c r="P226" i="1"/>
  <c r="Q225" i="1"/>
  <c r="P225" i="1"/>
  <c r="Q224" i="1"/>
  <c r="P224" i="1"/>
  <c r="Q223" i="1"/>
  <c r="P223" i="1"/>
  <c r="Q222" i="1"/>
  <c r="P222" i="1"/>
  <c r="Q221" i="1"/>
  <c r="P221" i="1"/>
  <c r="Q220" i="1"/>
  <c r="P220" i="1"/>
  <c r="Q219" i="1"/>
  <c r="P219" i="1"/>
  <c r="Q218" i="1"/>
  <c r="P218" i="1"/>
  <c r="Q217" i="1"/>
  <c r="P217" i="1"/>
  <c r="Q216" i="1"/>
  <c r="P216" i="1"/>
  <c r="Q215" i="1"/>
  <c r="P215" i="1"/>
  <c r="Q214" i="1"/>
  <c r="P214" i="1"/>
  <c r="Q213" i="1"/>
  <c r="P213" i="1"/>
  <c r="Q212" i="1"/>
  <c r="P212" i="1"/>
  <c r="Q211" i="1"/>
  <c r="P211" i="1"/>
  <c r="Q210" i="1"/>
  <c r="P210" i="1"/>
  <c r="Q209" i="1"/>
  <c r="P209" i="1"/>
  <c r="Q208" i="1"/>
  <c r="P208" i="1"/>
  <c r="Q207" i="1"/>
  <c r="P207" i="1"/>
  <c r="Q206" i="1"/>
  <c r="P206" i="1"/>
  <c r="Q205" i="1"/>
  <c r="P205" i="1"/>
  <c r="Q204" i="1"/>
  <c r="P204" i="1"/>
  <c r="Q203" i="1"/>
  <c r="P203" i="1"/>
  <c r="Q202" i="1"/>
  <c r="P202" i="1"/>
  <c r="Q201" i="1"/>
  <c r="P201" i="1"/>
  <c r="Q200" i="1"/>
  <c r="P200" i="1"/>
  <c r="Q199" i="1"/>
  <c r="P199" i="1"/>
  <c r="Q198" i="1"/>
  <c r="P198" i="1"/>
  <c r="Q197" i="1"/>
  <c r="P197" i="1"/>
  <c r="Q196" i="1"/>
  <c r="P196" i="1"/>
  <c r="Q195" i="1"/>
  <c r="P195" i="1"/>
  <c r="Q194" i="1"/>
  <c r="P194" i="1"/>
  <c r="Q193" i="1"/>
  <c r="P193" i="1"/>
  <c r="Q192" i="1"/>
  <c r="P192" i="1"/>
  <c r="Q191" i="1"/>
  <c r="P191" i="1"/>
  <c r="Q190" i="1"/>
  <c r="P190" i="1"/>
  <c r="Q189" i="1"/>
  <c r="P189" i="1"/>
  <c r="Q188" i="1"/>
  <c r="P188" i="1"/>
  <c r="Q187" i="1"/>
  <c r="P187" i="1"/>
  <c r="Q186" i="1"/>
  <c r="P186" i="1"/>
  <c r="Q185" i="1"/>
  <c r="P185" i="1"/>
  <c r="Q184" i="1"/>
  <c r="P184" i="1"/>
  <c r="Q183" i="1"/>
  <c r="P183" i="1"/>
  <c r="Q182" i="1"/>
  <c r="P182" i="1"/>
  <c r="Q181" i="1"/>
  <c r="P181" i="1"/>
  <c r="Q180" i="1"/>
  <c r="P180" i="1"/>
  <c r="Q179" i="1"/>
  <c r="P179" i="1"/>
  <c r="Q178" i="1"/>
  <c r="P178" i="1"/>
  <c r="Q177" i="1"/>
  <c r="P177" i="1"/>
  <c r="Q176" i="1"/>
  <c r="P176" i="1"/>
  <c r="Q175" i="1"/>
  <c r="P175" i="1"/>
  <c r="Q174" i="1"/>
  <c r="P174" i="1"/>
  <c r="Q173" i="1"/>
  <c r="P173" i="1"/>
  <c r="Q172" i="1"/>
  <c r="P172" i="1"/>
  <c r="Q171" i="1"/>
  <c r="P171" i="1"/>
  <c r="Q170" i="1"/>
  <c r="P170" i="1"/>
  <c r="Q169" i="1"/>
  <c r="P169" i="1"/>
  <c r="Q168" i="1"/>
  <c r="P168" i="1"/>
  <c r="Q167" i="1"/>
  <c r="P167" i="1"/>
  <c r="Q166" i="1"/>
  <c r="P166" i="1"/>
  <c r="Q165" i="1"/>
  <c r="P165" i="1"/>
  <c r="Q164" i="1"/>
  <c r="P164" i="1"/>
  <c r="Q163" i="1"/>
  <c r="P163" i="1"/>
  <c r="Q162" i="1"/>
  <c r="P162" i="1"/>
  <c r="Q161" i="1"/>
  <c r="P161" i="1"/>
  <c r="Q160" i="1"/>
  <c r="P160" i="1"/>
  <c r="Q159" i="1"/>
  <c r="P159" i="1"/>
  <c r="Q158" i="1"/>
  <c r="P158" i="1"/>
  <c r="Q157" i="1"/>
  <c r="P157" i="1"/>
  <c r="Q156" i="1"/>
  <c r="P156" i="1"/>
  <c r="Q155" i="1"/>
  <c r="P155" i="1"/>
  <c r="Q154" i="1"/>
  <c r="P154" i="1"/>
  <c r="Q153" i="1"/>
  <c r="P153" i="1"/>
  <c r="Q152" i="1"/>
  <c r="P152" i="1"/>
  <c r="Q151" i="1"/>
  <c r="P151" i="1"/>
  <c r="Q150" i="1"/>
  <c r="P150" i="1"/>
  <c r="Q149" i="1"/>
  <c r="P149" i="1"/>
  <c r="Q148" i="1"/>
  <c r="P148" i="1"/>
  <c r="Q147" i="1"/>
  <c r="P147" i="1"/>
  <c r="Q146" i="1"/>
  <c r="P146" i="1"/>
  <c r="Q145" i="1"/>
  <c r="P145" i="1"/>
  <c r="Q144" i="1"/>
  <c r="P144" i="1"/>
  <c r="Q143" i="1"/>
  <c r="P143" i="1"/>
  <c r="Q142" i="1"/>
  <c r="P142" i="1"/>
  <c r="Q141" i="1"/>
  <c r="P141" i="1"/>
  <c r="Q140" i="1"/>
  <c r="P140" i="1"/>
  <c r="Q139" i="1"/>
  <c r="P139" i="1"/>
  <c r="Q138" i="1"/>
  <c r="P138" i="1"/>
  <c r="Q137" i="1"/>
  <c r="P137" i="1"/>
  <c r="Q136" i="1"/>
  <c r="P136" i="1"/>
  <c r="Q135" i="1"/>
  <c r="P135" i="1"/>
  <c r="Q134" i="1"/>
  <c r="P134" i="1"/>
  <c r="Q133" i="1"/>
  <c r="P133" i="1"/>
  <c r="Q132" i="1"/>
  <c r="P132" i="1"/>
  <c r="Q131" i="1"/>
  <c r="P131" i="1"/>
  <c r="Q130" i="1"/>
  <c r="P130" i="1"/>
  <c r="Q129" i="1"/>
  <c r="P129" i="1"/>
  <c r="Q128" i="1"/>
  <c r="P128" i="1"/>
  <c r="Q127" i="1"/>
  <c r="P127" i="1"/>
  <c r="Q126" i="1"/>
  <c r="P126" i="1"/>
  <c r="Q125" i="1"/>
  <c r="P125" i="1"/>
  <c r="Q124" i="1"/>
  <c r="P124" i="1"/>
  <c r="Q123" i="1"/>
  <c r="P123" i="1"/>
  <c r="Q122" i="1"/>
  <c r="P122" i="1"/>
  <c r="Q121" i="1"/>
  <c r="P121" i="1"/>
  <c r="Q120" i="1"/>
  <c r="P120" i="1"/>
  <c r="Q119" i="1"/>
  <c r="P119" i="1"/>
  <c r="Q118" i="1"/>
  <c r="P118" i="1"/>
  <c r="Q117" i="1"/>
  <c r="P117" i="1"/>
  <c r="Q116" i="1"/>
  <c r="P116" i="1"/>
  <c r="Q115" i="1"/>
  <c r="P115" i="1"/>
  <c r="Q114" i="1"/>
  <c r="P114" i="1"/>
  <c r="Q113" i="1"/>
  <c r="P113" i="1"/>
  <c r="Q112" i="1"/>
  <c r="P112" i="1"/>
  <c r="Q111" i="1"/>
  <c r="P111" i="1"/>
  <c r="Q110" i="1"/>
  <c r="P110" i="1"/>
  <c r="Q109" i="1"/>
  <c r="P109" i="1"/>
  <c r="Q108" i="1"/>
  <c r="P108" i="1"/>
  <c r="Q107" i="1"/>
  <c r="P107" i="1"/>
  <c r="Q106" i="1"/>
  <c r="P106" i="1"/>
  <c r="Q105" i="1"/>
  <c r="P105" i="1"/>
  <c r="Q104" i="1"/>
  <c r="P104" i="1"/>
  <c r="Q103" i="1"/>
  <c r="P103" i="1"/>
  <c r="Q102" i="1"/>
  <c r="P102" i="1"/>
  <c r="Q101" i="1"/>
  <c r="P101" i="1"/>
  <c r="Q100" i="1"/>
  <c r="P100" i="1"/>
  <c r="Q99" i="1"/>
  <c r="P99" i="1"/>
  <c r="Q98" i="1"/>
  <c r="P98" i="1"/>
  <c r="Q97" i="1"/>
  <c r="P97" i="1"/>
  <c r="Q96" i="1"/>
  <c r="P96" i="1"/>
  <c r="Q95" i="1"/>
  <c r="P95" i="1"/>
  <c r="Q94" i="1"/>
  <c r="P94" i="1"/>
  <c r="Q93" i="1"/>
  <c r="P93" i="1"/>
  <c r="Q92" i="1"/>
  <c r="P92" i="1"/>
  <c r="Q91" i="1"/>
  <c r="P91" i="1"/>
  <c r="Q90" i="1"/>
  <c r="P90" i="1"/>
  <c r="Q89" i="1"/>
  <c r="P89" i="1"/>
  <c r="Q88" i="1"/>
  <c r="P88" i="1"/>
  <c r="Q87" i="1"/>
  <c r="P87" i="1"/>
  <c r="Q86" i="1"/>
  <c r="P86" i="1"/>
  <c r="Q85" i="1"/>
  <c r="P85" i="1"/>
  <c r="Q84" i="1"/>
  <c r="P84" i="1"/>
  <c r="Q83" i="1"/>
  <c r="P83" i="1"/>
  <c r="Q82" i="1"/>
  <c r="P82" i="1"/>
  <c r="Q81" i="1"/>
  <c r="P81" i="1"/>
  <c r="Q80" i="1"/>
  <c r="P80" i="1"/>
  <c r="Q79" i="1"/>
  <c r="P79" i="1"/>
  <c r="Q78" i="1"/>
  <c r="P78" i="1"/>
  <c r="Q77" i="1"/>
  <c r="P77" i="1"/>
  <c r="Q76" i="1"/>
  <c r="P76" i="1"/>
  <c r="Q75" i="1"/>
  <c r="P75" i="1"/>
  <c r="Q74" i="1"/>
  <c r="P74" i="1"/>
  <c r="Q73" i="1"/>
  <c r="P73" i="1"/>
  <c r="Q72" i="1"/>
  <c r="P72" i="1"/>
  <c r="Q71" i="1"/>
  <c r="P71" i="1"/>
  <c r="Q70" i="1"/>
  <c r="P70" i="1"/>
  <c r="Q69" i="1"/>
  <c r="P69" i="1"/>
  <c r="Q68" i="1"/>
  <c r="P68" i="1"/>
  <c r="Q67" i="1"/>
  <c r="P67" i="1"/>
  <c r="Q66" i="1"/>
  <c r="P66" i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58" i="1"/>
  <c r="P58" i="1"/>
  <c r="Q57" i="1"/>
  <c r="P57" i="1"/>
  <c r="Q56" i="1"/>
  <c r="P56" i="1"/>
  <c r="Q55" i="1"/>
  <c r="P55" i="1"/>
  <c r="Q54" i="1"/>
  <c r="P54" i="1"/>
  <c r="Q53" i="1"/>
  <c r="P53" i="1"/>
  <c r="Q52" i="1"/>
  <c r="P52" i="1"/>
  <c r="Q51" i="1"/>
  <c r="P51" i="1"/>
  <c r="Q50" i="1"/>
  <c r="P50" i="1"/>
  <c r="Q49" i="1"/>
  <c r="P49" i="1"/>
  <c r="Q48" i="1"/>
  <c r="P48" i="1"/>
  <c r="Q47" i="1"/>
  <c r="P47" i="1"/>
  <c r="Q46" i="1"/>
  <c r="P46" i="1"/>
  <c r="Q45" i="1"/>
  <c r="P45" i="1"/>
  <c r="Q44" i="1"/>
  <c r="P44" i="1"/>
  <c r="Q43" i="1"/>
  <c r="P43" i="1"/>
  <c r="Q42" i="1"/>
  <c r="P42" i="1"/>
  <c r="Q41" i="1"/>
  <c r="P41" i="1"/>
  <c r="Q40" i="1"/>
  <c r="P40" i="1"/>
  <c r="Q39" i="1"/>
  <c r="P39" i="1"/>
  <c r="Q38" i="1"/>
  <c r="P38" i="1"/>
  <c r="Q37" i="1"/>
  <c r="P37" i="1"/>
  <c r="Q36" i="1"/>
  <c r="P36" i="1"/>
  <c r="Q35" i="1"/>
  <c r="P35" i="1"/>
  <c r="Q34" i="1"/>
  <c r="P34" i="1"/>
  <c r="Q33" i="1"/>
  <c r="P33" i="1"/>
  <c r="Q32" i="1"/>
  <c r="P32" i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  <c r="Q2" i="1"/>
  <c r="P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<sst xmlns="http://schemas.openxmlformats.org/spreadsheetml/2006/main" count="4765" uniqueCount="1077">
  <si>
    <t>Sum of Total Sales</t>
  </si>
  <si>
    <t>Gender</t>
  </si>
  <si>
    <t>Product Category</t>
  </si>
  <si>
    <t>Female</t>
  </si>
  <si>
    <t>Male</t>
  </si>
  <si>
    <t>Grand Total</t>
  </si>
  <si>
    <t>Beauty</t>
  </si>
  <si>
    <t>Clothing</t>
  </si>
  <si>
    <t>Electronics</t>
  </si>
  <si>
    <t>Details for Sum of Total Sales - Product Category: Beauty, Generation: Adult</t>
  </si>
  <si>
    <t>Transaction ID</t>
  </si>
  <si>
    <t>Day</t>
  </si>
  <si>
    <t>Month</t>
  </si>
  <si>
    <t>Year</t>
  </si>
  <si>
    <t>Day Name</t>
  </si>
  <si>
    <t>Month Name</t>
  </si>
  <si>
    <t>Date</t>
  </si>
  <si>
    <t>Customer ID</t>
  </si>
  <si>
    <t>Generation</t>
  </si>
  <si>
    <t>Age</t>
  </si>
  <si>
    <t>Quantity</t>
  </si>
  <si>
    <t>Price per Unit</t>
  </si>
  <si>
    <t>Total Sales</t>
  </si>
  <si>
    <t>Commision 2023</t>
  </si>
  <si>
    <t>Commision 2024</t>
  </si>
  <si>
    <t>Fri</t>
  </si>
  <si>
    <t>Nov</t>
  </si>
  <si>
    <t>CUST001</t>
  </si>
  <si>
    <t>Adult</t>
  </si>
  <si>
    <t>Tue</t>
  </si>
  <si>
    <t>Dec</t>
  </si>
  <si>
    <t>CUST982</t>
  </si>
  <si>
    <t>Oct</t>
  </si>
  <si>
    <t>CUST976</t>
  </si>
  <si>
    <t>Wed</t>
  </si>
  <si>
    <t>May</t>
  </si>
  <si>
    <t>CUST974</t>
  </si>
  <si>
    <t>Sat</t>
  </si>
  <si>
    <t>CUST005</t>
  </si>
  <si>
    <t>Apr</t>
  </si>
  <si>
    <t>CUST006</t>
  </si>
  <si>
    <t>Feb</t>
  </si>
  <si>
    <t>CUST972</t>
  </si>
  <si>
    <t>CUST953</t>
  </si>
  <si>
    <t>Thu</t>
  </si>
  <si>
    <t>CUST951</t>
  </si>
  <si>
    <t>Mon</t>
  </si>
  <si>
    <t>CUST945</t>
  </si>
  <si>
    <t>Sep</t>
  </si>
  <si>
    <t>CUST935</t>
  </si>
  <si>
    <t>CUST012</t>
  </si>
  <si>
    <t>Jul</t>
  </si>
  <si>
    <t>CUST934</t>
  </si>
  <si>
    <t>CUST932</t>
  </si>
  <si>
    <t>CUST931</t>
  </si>
  <si>
    <t>CUST923</t>
  </si>
  <si>
    <t>CUST908</t>
  </si>
  <si>
    <t>CUST869</t>
  </si>
  <si>
    <t>CUST846</t>
  </si>
  <si>
    <t>Jun</t>
  </si>
  <si>
    <t>CUST833</t>
  </si>
  <si>
    <t>CUST832</t>
  </si>
  <si>
    <t>Aug</t>
  </si>
  <si>
    <t>CUST825</t>
  </si>
  <si>
    <t>CUST819</t>
  </si>
  <si>
    <t>CUST817</t>
  </si>
  <si>
    <t>CUST816</t>
  </si>
  <si>
    <t>CUST808</t>
  </si>
  <si>
    <t>CUST027</t>
  </si>
  <si>
    <t>Sun</t>
  </si>
  <si>
    <t>CUST028</t>
  </si>
  <si>
    <t>Mar</t>
  </si>
  <si>
    <t>CUST806</t>
  </si>
  <si>
    <t>CUST030</t>
  </si>
  <si>
    <t>CUST805</t>
  </si>
  <si>
    <t>Jan</t>
  </si>
  <si>
    <t>CUST032</t>
  </si>
  <si>
    <t>CUST802</t>
  </si>
  <si>
    <t>CUST796</t>
  </si>
  <si>
    <t>CUST785</t>
  </si>
  <si>
    <t>CUST781</t>
  </si>
  <si>
    <t>CUST778</t>
  </si>
  <si>
    <t>CUST038</t>
  </si>
  <si>
    <t>CUST767</t>
  </si>
  <si>
    <t>CUST040</t>
  </si>
  <si>
    <t>CUST749</t>
  </si>
  <si>
    <t>CUST743</t>
  </si>
  <si>
    <t>CUST739</t>
  </si>
  <si>
    <t>CUST733</t>
  </si>
  <si>
    <t>CUST715</t>
  </si>
  <si>
    <t>CUST713</t>
  </si>
  <si>
    <t>CUST047</t>
  </si>
  <si>
    <t>CUST708</t>
  </si>
  <si>
    <t>CUST693</t>
  </si>
  <si>
    <t>CUST683</t>
  </si>
  <si>
    <t>CUST682</t>
  </si>
  <si>
    <t>CUST052</t>
  </si>
  <si>
    <t>CUST672</t>
  </si>
  <si>
    <t>CUST662</t>
  </si>
  <si>
    <t>CUST055</t>
  </si>
  <si>
    <t>CUST660</t>
  </si>
  <si>
    <t>CUST652</t>
  </si>
  <si>
    <t>CUST633</t>
  </si>
  <si>
    <t>CUST624</t>
  </si>
  <si>
    <t>CUST060</t>
  </si>
  <si>
    <t>CUST622</t>
  </si>
  <si>
    <t>CUST621</t>
  </si>
  <si>
    <t>CUST614</t>
  </si>
  <si>
    <t>CUST598</t>
  </si>
  <si>
    <t>CUST592</t>
  </si>
  <si>
    <t>CUST589</t>
  </si>
  <si>
    <t>CUST067</t>
  </si>
  <si>
    <t>CUST587</t>
  </si>
  <si>
    <t>CUST581</t>
  </si>
  <si>
    <t>CUST576</t>
  </si>
  <si>
    <t>CUST573</t>
  </si>
  <si>
    <t>CUST565</t>
  </si>
  <si>
    <t>CUST554</t>
  </si>
  <si>
    <t>CUST543</t>
  </si>
  <si>
    <t>CUST535</t>
  </si>
  <si>
    <t>CUST525</t>
  </si>
  <si>
    <t>CUST524</t>
  </si>
  <si>
    <t>CUST522</t>
  </si>
  <si>
    <t>CUST079</t>
  </si>
  <si>
    <t>CUST516</t>
  </si>
  <si>
    <t>CUST511</t>
  </si>
  <si>
    <t>CUST082</t>
  </si>
  <si>
    <t>CUST510</t>
  </si>
  <si>
    <t>CUST506</t>
  </si>
  <si>
    <t>CUST504</t>
  </si>
  <si>
    <t>CUST503</t>
  </si>
  <si>
    <t>CUST499</t>
  </si>
  <si>
    <t>CUST494</t>
  </si>
  <si>
    <t>CUST493</t>
  </si>
  <si>
    <t>CUST480</t>
  </si>
  <si>
    <t>CUST472</t>
  </si>
  <si>
    <t>CUST460</t>
  </si>
  <si>
    <t>CUST093</t>
  </si>
  <si>
    <t>CUST094</t>
  </si>
  <si>
    <t>CUST454</t>
  </si>
  <si>
    <t>CUST435</t>
  </si>
  <si>
    <t>CUST414</t>
  </si>
  <si>
    <t>CUST413</t>
  </si>
  <si>
    <t>CUST397</t>
  </si>
  <si>
    <t>CUST387</t>
  </si>
  <si>
    <t>CUST383</t>
  </si>
  <si>
    <t>CUST102</t>
  </si>
  <si>
    <t>CUST358</t>
  </si>
  <si>
    <t>CUST104</t>
  </si>
  <si>
    <t>CUST354</t>
  </si>
  <si>
    <t>CUST344</t>
  </si>
  <si>
    <t>CUST335</t>
  </si>
  <si>
    <t>CUST328</t>
  </si>
  <si>
    <t>CUST311</t>
  </si>
  <si>
    <t>CUST308</t>
  </si>
  <si>
    <t>CUST290</t>
  </si>
  <si>
    <t>CUST267</t>
  </si>
  <si>
    <t>CUST262</t>
  </si>
  <si>
    <t>CUST238</t>
  </si>
  <si>
    <t>CUST232</t>
  </si>
  <si>
    <t>CUST221</t>
  </si>
  <si>
    <t>CUST211</t>
  </si>
  <si>
    <t>CUST207</t>
  </si>
  <si>
    <t>CUST204</t>
  </si>
  <si>
    <t>CUST199</t>
  </si>
  <si>
    <t>CUST193</t>
  </si>
  <si>
    <t>CUST183</t>
  </si>
  <si>
    <t>CUST177</t>
  </si>
  <si>
    <t>CUST176</t>
  </si>
  <si>
    <t>CUST174</t>
  </si>
  <si>
    <t>CUST172</t>
  </si>
  <si>
    <t>CUST164</t>
  </si>
  <si>
    <t>CUST139</t>
  </si>
  <si>
    <t>CUST137</t>
  </si>
  <si>
    <t>Details for Sum of Total Sales - Product Category: Clothing, Generation: Adult</t>
  </si>
  <si>
    <t>CUST995</t>
  </si>
  <si>
    <t>CUST991</t>
  </si>
  <si>
    <t>CUST987</t>
  </si>
  <si>
    <t>CUST004</t>
  </si>
  <si>
    <t>CUST986</t>
  </si>
  <si>
    <t>CUST969</t>
  </si>
  <si>
    <t>CUST007</t>
  </si>
  <si>
    <t>CUST968</t>
  </si>
  <si>
    <t>CUST962</t>
  </si>
  <si>
    <t>CUST956</t>
  </si>
  <si>
    <t>CUST950</t>
  </si>
  <si>
    <t>CUST944</t>
  </si>
  <si>
    <t>CUST938</t>
  </si>
  <si>
    <t>CUST928</t>
  </si>
  <si>
    <t>CUST898</t>
  </si>
  <si>
    <t>CUST876</t>
  </si>
  <si>
    <t>CUST865</t>
  </si>
  <si>
    <t>CUST861</t>
  </si>
  <si>
    <t>CUST852</t>
  </si>
  <si>
    <t>CUST849</t>
  </si>
  <si>
    <t>CUST844</t>
  </si>
  <si>
    <t>CUST842</t>
  </si>
  <si>
    <t>CUST023</t>
  </si>
  <si>
    <t>CUST024</t>
  </si>
  <si>
    <t>CUST835</t>
  </si>
  <si>
    <t>CUST826</t>
  </si>
  <si>
    <t>CUST803</t>
  </si>
  <si>
    <t>CUST800</t>
  </si>
  <si>
    <t>CUST797</t>
  </si>
  <si>
    <t>CUST786</t>
  </si>
  <si>
    <t>CUST776</t>
  </si>
  <si>
    <t>CUST774</t>
  </si>
  <si>
    <t>CUST770</t>
  </si>
  <si>
    <t>CUST765</t>
  </si>
  <si>
    <t>CUST764</t>
  </si>
  <si>
    <t>CUST763</t>
  </si>
  <si>
    <t>CUST761</t>
  </si>
  <si>
    <t>CUST753</t>
  </si>
  <si>
    <t>CUST751</t>
  </si>
  <si>
    <t>CUST750</t>
  </si>
  <si>
    <t>CUST041</t>
  </si>
  <si>
    <t>CUST746</t>
  </si>
  <si>
    <t>CUST043</t>
  </si>
  <si>
    <t>CUST741</t>
  </si>
  <si>
    <t>CUST738</t>
  </si>
  <si>
    <t>CUST737</t>
  </si>
  <si>
    <t>CUST730</t>
  </si>
  <si>
    <t>CUST726</t>
  </si>
  <si>
    <t>CUST719</t>
  </si>
  <si>
    <t>CUST699</t>
  </si>
  <si>
    <t>CUST675</t>
  </si>
  <si>
    <t>CUST674</t>
  </si>
  <si>
    <t>CUST673</t>
  </si>
  <si>
    <t>CUST664</t>
  </si>
  <si>
    <t>CUST661</t>
  </si>
  <si>
    <t>CUST657</t>
  </si>
  <si>
    <t>CUST654</t>
  </si>
  <si>
    <t>CUST646</t>
  </si>
  <si>
    <t>CUST637</t>
  </si>
  <si>
    <t>CUST630</t>
  </si>
  <si>
    <t>CUST625</t>
  </si>
  <si>
    <t>CUST623</t>
  </si>
  <si>
    <t>CUST616</t>
  </si>
  <si>
    <t>CUST064</t>
  </si>
  <si>
    <t>CUST609</t>
  </si>
  <si>
    <t>CUST603</t>
  </si>
  <si>
    <t>CUST590</t>
  </si>
  <si>
    <t>CUST582</t>
  </si>
  <si>
    <t>CUST580</t>
  </si>
  <si>
    <t>CUST070</t>
  </si>
  <si>
    <t>CUST572</t>
  </si>
  <si>
    <t>CUST570</t>
  </si>
  <si>
    <t>CUST559</t>
  </si>
  <si>
    <t>CUST558</t>
  </si>
  <si>
    <t>CUST550</t>
  </si>
  <si>
    <t>CUST534</t>
  </si>
  <si>
    <t>CUST077</t>
  </si>
  <si>
    <t>CUST078</t>
  </si>
  <si>
    <t>CUST529</t>
  </si>
  <si>
    <t>CUST528</t>
  </si>
  <si>
    <t>CUST526</t>
  </si>
  <si>
    <t>CUST521</t>
  </si>
  <si>
    <t>CUST518</t>
  </si>
  <si>
    <t>CUST517</t>
  </si>
  <si>
    <t>CUST085</t>
  </si>
  <si>
    <t>CUST515</t>
  </si>
  <si>
    <t>CUST497</t>
  </si>
  <si>
    <t>CUST490</t>
  </si>
  <si>
    <t>CUST487</t>
  </si>
  <si>
    <t>CUST477</t>
  </si>
  <si>
    <t>CUST471</t>
  </si>
  <si>
    <t>CUST452</t>
  </si>
  <si>
    <t>CUST438</t>
  </si>
  <si>
    <t>CUST421</t>
  </si>
  <si>
    <t>CUST095</t>
  </si>
  <si>
    <t>CUST096</t>
  </si>
  <si>
    <t>CUST419</t>
  </si>
  <si>
    <t>CUST403</t>
  </si>
  <si>
    <t>CUST402</t>
  </si>
  <si>
    <t>CUST398</t>
  </si>
  <si>
    <t>CUST101</t>
  </si>
  <si>
    <t>CUST381</t>
  </si>
  <si>
    <t>CUST379</t>
  </si>
  <si>
    <t>CUST377</t>
  </si>
  <si>
    <t>CUST375</t>
  </si>
  <si>
    <t>CUST106</t>
  </si>
  <si>
    <t>CUST365</t>
  </si>
  <si>
    <t>CUST360</t>
  </si>
  <si>
    <t>CUST342</t>
  </si>
  <si>
    <t>CUST341</t>
  </si>
  <si>
    <t>CUST340</t>
  </si>
  <si>
    <t>CUST112</t>
  </si>
  <si>
    <t>CUST337</t>
  </si>
  <si>
    <t>CUST319</t>
  </si>
  <si>
    <t>CUST316</t>
  </si>
  <si>
    <t>CUST315</t>
  </si>
  <si>
    <t>CUST312</t>
  </si>
  <si>
    <t>CUST301</t>
  </si>
  <si>
    <t>CUST284</t>
  </si>
  <si>
    <t>CUST280</t>
  </si>
  <si>
    <t>CUST278</t>
  </si>
  <si>
    <t>CUST277</t>
  </si>
  <si>
    <t>CUST275</t>
  </si>
  <si>
    <t>CUST124</t>
  </si>
  <si>
    <t>CUST125</t>
  </si>
  <si>
    <t>CUST264</t>
  </si>
  <si>
    <t>CUST127</t>
  </si>
  <si>
    <t>CUST259</t>
  </si>
  <si>
    <t>CUST258</t>
  </si>
  <si>
    <t>CUST255</t>
  </si>
  <si>
    <t>CUST245</t>
  </si>
  <si>
    <t>CUST205</t>
  </si>
  <si>
    <t>CUST202</t>
  </si>
  <si>
    <t>CUST197</t>
  </si>
  <si>
    <t>CUST196</t>
  </si>
  <si>
    <t>CUST188</t>
  </si>
  <si>
    <t>CUST180</t>
  </si>
  <si>
    <t>CUST138</t>
  </si>
  <si>
    <t>CUST178</t>
  </si>
  <si>
    <t>CUST167</t>
  </si>
  <si>
    <t>CUST166</t>
  </si>
  <si>
    <t>CUST162</t>
  </si>
  <si>
    <t>CUST143</t>
  </si>
  <si>
    <t>CUST160</t>
  </si>
  <si>
    <t>CUST145</t>
  </si>
  <si>
    <t>CUST146</t>
  </si>
  <si>
    <t>CUST156</t>
  </si>
  <si>
    <t>Senior</t>
  </si>
  <si>
    <t>Young Adult</t>
  </si>
  <si>
    <t>Rate %</t>
  </si>
  <si>
    <t>CUST002</t>
  </si>
  <si>
    <t>CUST003</t>
  </si>
  <si>
    <t>CUST008</t>
  </si>
  <si>
    <t>Overall Sales</t>
  </si>
  <si>
    <t>CUST009</t>
  </si>
  <si>
    <t>All products</t>
  </si>
  <si>
    <t>CUST010</t>
  </si>
  <si>
    <t>CUST011</t>
  </si>
  <si>
    <t>CUST013</t>
  </si>
  <si>
    <t>CUST014</t>
  </si>
  <si>
    <t>CUST015</t>
  </si>
  <si>
    <t>Avarage Commission P2:P16</t>
  </si>
  <si>
    <t>CUST016</t>
  </si>
  <si>
    <t>CUST017</t>
  </si>
  <si>
    <t>CUST018</t>
  </si>
  <si>
    <t>CUST019</t>
  </si>
  <si>
    <t>CUST020</t>
  </si>
  <si>
    <t>CUST021</t>
  </si>
  <si>
    <t>CUST022</t>
  </si>
  <si>
    <t>CUST025</t>
  </si>
  <si>
    <t>CUST026</t>
  </si>
  <si>
    <t>CUST029</t>
  </si>
  <si>
    <t>CUST031</t>
  </si>
  <si>
    <t>CUST033</t>
  </si>
  <si>
    <t>CUST034</t>
  </si>
  <si>
    <t>CUST035</t>
  </si>
  <si>
    <t>CUST036</t>
  </si>
  <si>
    <t>CUST037</t>
  </si>
  <si>
    <t>CUST039</t>
  </si>
  <si>
    <t>CUST042</t>
  </si>
  <si>
    <t>CUST044</t>
  </si>
  <si>
    <t>CUST045</t>
  </si>
  <si>
    <t>CUST046</t>
  </si>
  <si>
    <t>CUST048</t>
  </si>
  <si>
    <t>CUST049</t>
  </si>
  <si>
    <t>CUST050</t>
  </si>
  <si>
    <t>CUST051</t>
  </si>
  <si>
    <t>CUST053</t>
  </si>
  <si>
    <t>CUST054</t>
  </si>
  <si>
    <t>CUST056</t>
  </si>
  <si>
    <t>CUST057</t>
  </si>
  <si>
    <t>CUST058</t>
  </si>
  <si>
    <t>CUST059</t>
  </si>
  <si>
    <t>CUST061</t>
  </si>
  <si>
    <t>CUST062</t>
  </si>
  <si>
    <t>CUST063</t>
  </si>
  <si>
    <t>CUST065</t>
  </si>
  <si>
    <t>CUST066</t>
  </si>
  <si>
    <t>CUST068</t>
  </si>
  <si>
    <t>CUST069</t>
  </si>
  <si>
    <t>CUST071</t>
  </si>
  <si>
    <t>CUST072</t>
  </si>
  <si>
    <t>CUST073</t>
  </si>
  <si>
    <t>CUST074</t>
  </si>
  <si>
    <t>CUST075</t>
  </si>
  <si>
    <t>CUST076</t>
  </si>
  <si>
    <t>CUST080</t>
  </si>
  <si>
    <t>CUST081</t>
  </si>
  <si>
    <t>CUST083</t>
  </si>
  <si>
    <t>CUST084</t>
  </si>
  <si>
    <t>CUST086</t>
  </si>
  <si>
    <t>CUST087</t>
  </si>
  <si>
    <t>CUST088</t>
  </si>
  <si>
    <t>CUST089</t>
  </si>
  <si>
    <t>CUST090</t>
  </si>
  <si>
    <t>CUST091</t>
  </si>
  <si>
    <t>CUST092</t>
  </si>
  <si>
    <t>CUST097</t>
  </si>
  <si>
    <t>CUST098</t>
  </si>
  <si>
    <t>CUST099</t>
  </si>
  <si>
    <t>CUST100</t>
  </si>
  <si>
    <t>CUST103</t>
  </si>
  <si>
    <t>CUST105</t>
  </si>
  <si>
    <t>CUST107</t>
  </si>
  <si>
    <t>CUST108</t>
  </si>
  <si>
    <t>CUST109</t>
  </si>
  <si>
    <t>CUST110</t>
  </si>
  <si>
    <t>CUST111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</si>
  <si>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</si>
  <si>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</si>
  <si>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</si>
  <si>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</si>
  <si>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</si>
  <si>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</si>
  <si>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</si>
  <si>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</si>
  <si>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</si>
  <si>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</si>
  <si>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</si>
  <si>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CUST126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</si>
  <si>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</si>
  <si>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</si>
  <si>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</si>
  <si>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</si>
  <si>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</si>
  <si>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</si>
  <si>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</si>
  <si>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</si>
  <si>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</si>
  <si>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CUST140</t>
  </si>
  <si>
    <t>CUST141</t>
  </si>
  <si>
    <t>CUST142</t>
  </si>
  <si>
    <t>CUST144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</si>
  <si>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</si>
  <si>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</si>
  <si>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</si>
  <si>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</si>
  <si>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</si>
  <si>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</si>
  <si>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</si>
  <si>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</si>
  <si>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</si>
  <si>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CUST157</t>
  </si>
  <si>
    <t>CUST158</t>
  </si>
  <si>
    <t>CUST159</t>
  </si>
  <si>
    <t>CUST161</t>
  </si>
  <si>
    <t>CUST163</t>
  </si>
  <si>
    <t>CUST165</t>
  </si>
  <si>
    <t>CUST168</t>
  </si>
  <si>
    <t>CUST169</t>
  </si>
  <si>
    <t>CUST170</t>
  </si>
  <si>
    <t>CUST171</t>
  </si>
  <si>
    <t>CUST173</t>
  </si>
  <si>
    <t>CUST175</t>
  </si>
  <si>
    <t>CUST179</t>
  </si>
  <si>
    <t>CUST181</t>
  </si>
  <si>
    <t>CUST182</t>
  </si>
  <si>
    <t>CUST184</t>
  </si>
  <si>
    <t>CUST185</t>
  </si>
  <si>
    <t>CUST186</t>
  </si>
  <si>
    <t>CUST187</t>
  </si>
  <si>
    <t>CUST189</t>
  </si>
  <si>
    <t>CUST190</t>
  </si>
  <si>
    <t>CUST191</t>
  </si>
  <si>
    <t>CUST192</t>
  </si>
  <si>
    <t>CUST194</t>
  </si>
  <si>
    <t>CUST195</t>
  </si>
  <si>
    <t>CUST198</t>
  </si>
  <si>
    <t>CUST200</t>
  </si>
  <si>
    <t>CUST201</t>
  </si>
  <si>
    <t>CUST203</t>
  </si>
  <si>
    <t>CUST206</t>
  </si>
  <si>
    <t>CUST208</t>
  </si>
  <si>
    <t>CUST209</t>
  </si>
  <si>
    <t>CUST210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</si>
  <si>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</si>
  <si>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</si>
  <si>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</si>
  <si>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</si>
  <si>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</si>
  <si>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</si>
  <si>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</si>
  <si>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</si>
  <si>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</si>
  <si>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</si>
  <si>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</si>
  <si>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</si>
  <si>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</si>
  <si>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</si>
  <si>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</si>
  <si>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</si>
  <si>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</si>
  <si>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</si>
  <si>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</si>
  <si>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CUST233</t>
  </si>
  <si>
    <t>CUST234</t>
  </si>
  <si>
    <t>CUST235</t>
  </si>
  <si>
    <t>CUST236</t>
  </si>
  <si>
    <t>CUST237</t>
  </si>
  <si>
    <t>CUST239</t>
  </si>
  <si>
    <t>CUST240</t>
  </si>
  <si>
    <t>CUST241</t>
  </si>
  <si>
    <t>CUST242</t>
  </si>
  <si>
    <t>CUST243</t>
  </si>
  <si>
    <t>CUST244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</si>
  <si>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</si>
  <si>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</si>
  <si>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</si>
  <si>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</si>
  <si>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</si>
  <si>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</si>
  <si>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</si>
  <si>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</si>
  <si>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</si>
  <si>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CUST256</t>
  </si>
  <si>
    <t>CUST257</t>
  </si>
  <si>
    <t>CUST260</t>
  </si>
  <si>
    <t>CUST261</t>
  </si>
  <si>
    <t>CUST263</t>
  </si>
  <si>
    <t>CUST265</t>
  </si>
  <si>
    <t>CUST266</t>
  </si>
  <si>
    <t>CUST268</t>
  </si>
  <si>
    <t>CUST269</t>
  </si>
  <si>
    <t>CUST270</t>
  </si>
  <si>
    <t>CUST271</t>
  </si>
  <si>
    <t>CUST272</t>
  </si>
  <si>
    <t>CUST273</t>
  </si>
  <si>
    <t>CUST274</t>
  </si>
  <si>
    <t>CUST276</t>
  </si>
  <si>
    <t>CUST279</t>
  </si>
  <si>
    <t>CUST281</t>
  </si>
  <si>
    <t>CUST282</t>
  </si>
  <si>
    <t>CUST283</t>
  </si>
  <si>
    <t>CUST285</t>
  </si>
  <si>
    <t>CUST286</t>
  </si>
  <si>
    <t>CUST287</t>
  </si>
  <si>
    <t>CUST288</t>
  </si>
  <si>
    <t>CUST289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</si>
  <si>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</si>
  <si>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</si>
  <si>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</si>
  <si>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</si>
  <si>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</si>
  <si>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</si>
  <si>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</si>
  <si>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</si>
  <si>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</si>
  <si>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</si>
  <si>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CUST302</t>
  </si>
  <si>
    <t>CUST303</t>
  </si>
  <si>
    <t>CUST304</t>
  </si>
  <si>
    <t>CUST305</t>
  </si>
  <si>
    <t>CUST306</t>
  </si>
  <si>
    <t>CUST307</t>
  </si>
  <si>
    <t>CUST309</t>
  </si>
  <si>
    <t>CUST310</t>
  </si>
  <si>
    <t>CUST313</t>
  </si>
  <si>
    <t>CUST314</t>
  </si>
  <si>
    <t>CUST317</t>
  </si>
  <si>
    <t>CUST318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</si>
  <si>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</si>
  <si>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</si>
  <si>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</si>
  <si>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</si>
  <si>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</si>
  <si>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</si>
  <si>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</si>
  <si>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</si>
  <si>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CUST329</t>
  </si>
  <si>
    <t>CUST330</t>
  </si>
  <si>
    <t>CUST331</t>
  </si>
  <si>
    <t>CUST332</t>
  </si>
  <si>
    <t>CUST333</t>
  </si>
  <si>
    <t>CUST334</t>
  </si>
  <si>
    <t>CUST336</t>
  </si>
  <si>
    <t>CUST338</t>
  </si>
  <si>
    <t>CUST339</t>
  </si>
  <si>
    <t>CUST343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</si>
  <si>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</si>
  <si>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</si>
  <si>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</si>
  <si>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</si>
  <si>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</si>
  <si>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</si>
  <si>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</si>
  <si>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</si>
  <si>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</si>
  <si>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CUST355</t>
  </si>
  <si>
    <t>CUST356</t>
  </si>
  <si>
    <t>CUST357</t>
  </si>
  <si>
    <t>CUST359</t>
  </si>
  <si>
    <t>CUST361</t>
  </si>
  <si>
    <t>CUST362</t>
  </si>
  <si>
    <t>CUST363</t>
  </si>
  <si>
    <t>CUST364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</si>
  <si>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</si>
  <si>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</si>
  <si>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</si>
  <si>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</si>
  <si>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</si>
  <si>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</si>
  <si>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</si>
  <si>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</si>
  <si>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</si>
  <si>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CUST376</t>
  </si>
  <si>
    <t>CUST378</t>
  </si>
  <si>
    <t>CUST380</t>
  </si>
  <si>
    <t>CUST382</t>
  </si>
  <si>
    <t>CUST384</t>
  </si>
  <si>
    <t>CUST385</t>
  </si>
  <si>
    <t>CUST386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</si>
  <si>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</si>
  <si>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</si>
  <si>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</si>
  <si>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</si>
  <si>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</si>
  <si>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</si>
  <si>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</si>
  <si>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</si>
  <si>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</si>
  <si>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CUST399</t>
  </si>
  <si>
    <t>CUST400</t>
  </si>
  <si>
    <t>CUST401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</si>
  <si>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</si>
  <si>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</si>
  <si>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</si>
  <si>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</si>
  <si>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</si>
  <si>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</si>
  <si>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</si>
  <si>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</si>
  <si>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</si>
  <si>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CUST415</t>
  </si>
  <si>
    <t>CUST416</t>
  </si>
  <si>
    <t>CUST417</t>
  </si>
  <si>
    <t>CUST418</t>
  </si>
  <si>
    <t>CUST420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</si>
  <si>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</si>
  <si>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</si>
  <si>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</si>
  <si>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</si>
  <si>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</si>
  <si>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</si>
  <si>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</si>
  <si>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</si>
  <si>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</si>
  <si>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</si>
  <si>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</si>
  <si>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</si>
  <si>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</si>
  <si>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CUST436</t>
  </si>
  <si>
    <t>CUST437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</si>
  <si>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</si>
  <si>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</si>
  <si>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</si>
  <si>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</si>
  <si>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</si>
  <si>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</si>
  <si>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</si>
  <si>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</si>
  <si>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</si>
  <si>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</si>
  <si>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</si>
  <si>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</si>
  <si>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</si>
  <si>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CUST453</t>
  </si>
  <si>
    <t>CUST455</t>
  </si>
  <si>
    <t>CUST456</t>
  </si>
  <si>
    <t>CUST457</t>
  </si>
  <si>
    <t>CUST458</t>
  </si>
  <si>
    <t>CUST459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</si>
  <si>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</si>
  <si>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</si>
  <si>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</si>
  <si>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</si>
  <si>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</si>
  <si>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</si>
  <si>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</si>
  <si>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</si>
  <si>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</si>
  <si>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</si>
  <si>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CUST473</t>
  </si>
  <si>
    <t>CUST474</t>
  </si>
  <si>
    <t>CUST475</t>
  </si>
  <si>
    <t>CUST476</t>
  </si>
  <si>
    <t>CUST478</t>
  </si>
  <si>
    <t>CUST479</t>
  </si>
  <si>
    <t>CUST481</t>
  </si>
  <si>
    <t>CUST482</t>
  </si>
  <si>
    <t>CUST483</t>
  </si>
  <si>
    <t>CUST484</t>
  </si>
  <si>
    <t>CUST485</t>
  </si>
  <si>
    <t>CUST486</t>
  </si>
  <si>
    <t>CUST488</t>
  </si>
  <si>
    <t>CUST489</t>
  </si>
  <si>
    <t>CUST491</t>
  </si>
  <si>
    <t>CUST492</t>
  </si>
  <si>
    <t>CUST495</t>
  </si>
  <si>
    <t>CUST496</t>
  </si>
  <si>
    <t>CUST498</t>
  </si>
  <si>
    <t>CUST500</t>
  </si>
  <si>
    <t>CUST501</t>
  </si>
  <si>
    <t>CUST502</t>
  </si>
  <si>
    <t>CUST505</t>
  </si>
  <si>
    <t>CUST507</t>
  </si>
  <si>
    <t>CUST508</t>
  </si>
  <si>
    <t>CUST509</t>
  </si>
  <si>
    <t>CUST512</t>
  </si>
  <si>
    <t>CUST513</t>
  </si>
  <si>
    <t>CUST514</t>
  </si>
  <si>
    <t>CUST519</t>
  </si>
  <si>
    <t>CUST520</t>
  </si>
  <si>
    <t>CUST523</t>
  </si>
  <si>
    <t>CUST527</t>
  </si>
  <si>
    <t>CUST530</t>
  </si>
  <si>
    <t>CUST531</t>
  </si>
  <si>
    <t>CUST532</t>
  </si>
  <si>
    <t>CUST533</t>
  </si>
  <si>
    <t>CUST536</t>
  </si>
  <si>
    <t>CUST537</t>
  </si>
  <si>
    <t>CUST538</t>
  </si>
  <si>
    <t>CUST539</t>
  </si>
  <si>
    <t>CUST540</t>
  </si>
  <si>
    <t>CUST541</t>
  </si>
  <si>
    <t>CUST542</t>
  </si>
  <si>
    <t>CUST544</t>
  </si>
  <si>
    <t>CUST545</t>
  </si>
  <si>
    <t>CUST546</t>
  </si>
  <si>
    <t>CUST547</t>
  </si>
  <si>
    <t>CUST548</t>
  </si>
  <si>
    <t>CUST549</t>
  </si>
  <si>
    <t>CUST551</t>
  </si>
  <si>
    <t>CUST552</t>
  </si>
  <si>
    <t>CUST553</t>
  </si>
  <si>
    <t>CUST555</t>
  </si>
  <si>
    <t>CUST556</t>
  </si>
  <si>
    <t>CUST557</t>
  </si>
  <si>
    <t>CUST560</t>
  </si>
  <si>
    <t>CUST561</t>
  </si>
  <si>
    <t>CUST562</t>
  </si>
  <si>
    <t>CUST563</t>
  </si>
  <si>
    <t>CUST564</t>
  </si>
  <si>
    <t>CUST566</t>
  </si>
  <si>
    <t>CUST567</t>
  </si>
  <si>
    <t>CUST568</t>
  </si>
  <si>
    <t>CUST569</t>
  </si>
  <si>
    <t>CUST571</t>
  </si>
  <si>
    <t>CUST574</t>
  </si>
  <si>
    <t>CUST575</t>
  </si>
  <si>
    <t>CUST577</t>
  </si>
  <si>
    <t>CUST578</t>
  </si>
  <si>
    <t>CUST579</t>
  </si>
  <si>
    <t>CUST583</t>
  </si>
  <si>
    <t>CUST584</t>
  </si>
  <si>
    <t>CUST585</t>
  </si>
  <si>
    <t>CUST586</t>
  </si>
  <si>
    <t>CUST588</t>
  </si>
  <si>
    <t>CUST591</t>
  </si>
  <si>
    <t>CUST593</t>
  </si>
  <si>
    <t>CUST594</t>
  </si>
  <si>
    <t>CUST595</t>
  </si>
  <si>
    <t>CUST596</t>
  </si>
  <si>
    <t>CUST597</t>
  </si>
  <si>
    <t>CUST599</t>
  </si>
  <si>
    <t>CUST600</t>
  </si>
  <si>
    <t>CUST601</t>
  </si>
  <si>
    <t>CUST602</t>
  </si>
  <si>
    <t>CUST604</t>
  </si>
  <si>
    <t>CUST605</t>
  </si>
  <si>
    <t>CUST606</t>
  </si>
  <si>
    <t>CUST607</t>
  </si>
  <si>
    <t>CUST608</t>
  </si>
  <si>
    <t>CUST610</t>
  </si>
  <si>
    <t>CUST611</t>
  </si>
  <si>
    <t>CUST612</t>
  </si>
  <si>
    <t>CUST613</t>
  </si>
  <si>
    <t>CUST615</t>
  </si>
  <si>
    <t>CUST617</t>
  </si>
  <si>
    <t>CUST618</t>
  </si>
  <si>
    <t>CUST619</t>
  </si>
  <si>
    <t>CUST620</t>
  </si>
  <si>
    <t>CUST626</t>
  </si>
  <si>
    <t>CUST627</t>
  </si>
  <si>
    <t>CUST628</t>
  </si>
  <si>
    <t>CUST629</t>
  </si>
  <si>
    <t>CUST631</t>
  </si>
  <si>
    <t>CUST632</t>
  </si>
  <si>
    <t>CUST634</t>
  </si>
  <si>
    <t>CUST635</t>
  </si>
  <si>
    <t>CUST636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</si>
  <si>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</si>
  <si>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</si>
  <si>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</si>
  <si>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</si>
  <si>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</si>
  <si>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</si>
  <si>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</si>
  <si>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</si>
  <si>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CUST647</t>
  </si>
  <si>
    <t>CUST648</t>
  </si>
  <si>
    <t>CUST649</t>
  </si>
  <si>
    <t>CUST650</t>
  </si>
  <si>
    <t>CUST651</t>
  </si>
  <si>
    <t>CUST653</t>
  </si>
  <si>
    <t>CUST655</t>
  </si>
  <si>
    <t>CUST656</t>
  </si>
  <si>
    <t>CUST658</t>
  </si>
  <si>
    <t>CUST659</t>
  </si>
  <si>
    <t>CUST663</t>
  </si>
  <si>
    <t>CUST665</t>
  </si>
  <si>
    <t>CUST666</t>
  </si>
  <si>
    <t>CUST667</t>
  </si>
  <si>
    <t>CUST668</t>
  </si>
  <si>
    <t>CUST669</t>
  </si>
  <si>
    <t>CUST670</t>
  </si>
  <si>
    <t>CUST671</t>
  </si>
  <si>
    <t>CUST676</t>
  </si>
  <si>
    <t>CUST677</t>
  </si>
  <si>
    <t>CUST678</t>
  </si>
  <si>
    <t>CUST679</t>
  </si>
  <si>
    <t>CUST680</t>
  </si>
  <si>
    <t>CUST681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</si>
  <si>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</si>
  <si>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</si>
  <si>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</si>
  <si>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</si>
  <si>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</si>
  <si>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</si>
  <si>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</si>
  <si>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</si>
  <si>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</si>
  <si>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CUST694</t>
  </si>
  <si>
    <t>CUST695</t>
  </si>
  <si>
    <t>CUST696</t>
  </si>
  <si>
    <t>CUST697</t>
  </si>
  <si>
    <t>CUST698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</si>
  <si>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</si>
  <si>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</si>
  <si>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</si>
  <si>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</si>
  <si>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</si>
  <si>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</si>
  <si>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</si>
  <si>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</si>
  <si>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CUST709</t>
  </si>
  <si>
    <t>CUST710</t>
  </si>
  <si>
    <t>CUST711</t>
  </si>
  <si>
    <t>CUST712</t>
  </si>
  <si>
    <t>CUST714</t>
  </si>
  <si>
    <t>CUST716</t>
  </si>
  <si>
    <t>CUST717</t>
  </si>
  <si>
    <t>CUST718</t>
  </si>
  <si>
    <t>CUST720</t>
  </si>
  <si>
    <t>CUST721</t>
  </si>
  <si>
    <t>CUST722</t>
  </si>
  <si>
    <t>CUST723</t>
  </si>
  <si>
    <t>CUST724</t>
  </si>
  <si>
    <t>CUST725</t>
  </si>
  <si>
    <t>CUST727</t>
  </si>
  <si>
    <t>CUST728</t>
  </si>
  <si>
    <t>CUST729</t>
  </si>
  <si>
    <t>CUST731</t>
  </si>
  <si>
    <t>CUST732</t>
  </si>
  <si>
    <t>CUST734</t>
  </si>
  <si>
    <t>CUST735</t>
  </si>
  <si>
    <t>CUST736</t>
  </si>
  <si>
    <t>CUST740</t>
  </si>
  <si>
    <t>CUST742</t>
  </si>
  <si>
    <t>CUST744</t>
  </si>
  <si>
    <t>CUST745</t>
  </si>
  <si>
    <t>CUST747</t>
  </si>
  <si>
    <t>CUST748</t>
  </si>
  <si>
    <t>CUST752</t>
  </si>
  <si>
    <t>CUST754</t>
  </si>
  <si>
    <t>CUST755</t>
  </si>
  <si>
    <t>CUST756</t>
  </si>
  <si>
    <t>CUST757</t>
  </si>
  <si>
    <t>CUST758</t>
  </si>
  <si>
    <t>CUST759</t>
  </si>
  <si>
    <t>CUST760</t>
  </si>
  <si>
    <t>CUST762</t>
  </si>
  <si>
    <t>CUST766</t>
  </si>
  <si>
    <t>CUST768</t>
  </si>
  <si>
    <t>CUST769</t>
  </si>
  <si>
    <t>CUST771</t>
  </si>
  <si>
    <t>CUST772</t>
  </si>
  <si>
    <t>CUST773</t>
  </si>
  <si>
    <t>CUST775</t>
  </si>
  <si>
    <t>CUST777</t>
  </si>
  <si>
    <t>CUST779</t>
  </si>
  <si>
    <t>CUST780</t>
  </si>
  <si>
    <t>CUST782</t>
  </si>
  <si>
    <t>CUST783</t>
  </si>
  <si>
    <t>CUST784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</si>
  <si>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</si>
  <si>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</si>
  <si>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</si>
  <si>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</si>
  <si>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</si>
  <si>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</si>
  <si>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</si>
  <si>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</si>
  <si>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</si>
  <si>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CUST798</t>
  </si>
  <si>
    <t>CUST799</t>
  </si>
  <si>
    <t>CUST801</t>
  </si>
  <si>
    <t>CUST804</t>
  </si>
  <si>
    <t>CUST807</t>
  </si>
  <si>
    <t>CUST809</t>
  </si>
  <si>
    <t>CUST810</t>
  </si>
  <si>
    <t>CUST811</t>
  </si>
  <si>
    <t>CUST812</t>
  </si>
  <si>
    <t>CUST813</t>
  </si>
  <si>
    <t>CUST814</t>
  </si>
  <si>
    <t>CUST815</t>
  </si>
  <si>
    <t>CUST818</t>
  </si>
  <si>
    <t>CUST820</t>
  </si>
  <si>
    <t>CUST821</t>
  </si>
  <si>
    <t>CUST822</t>
  </si>
  <si>
    <t>CUST823</t>
  </si>
  <si>
    <t>CUST824</t>
  </si>
  <si>
    <t>CUST827</t>
  </si>
  <si>
    <t>CUST828</t>
  </si>
  <si>
    <t>CUST829</t>
  </si>
  <si>
    <t>CUST830</t>
  </si>
  <si>
    <t>CUST831</t>
  </si>
  <si>
    <t>CUST834</t>
  </si>
  <si>
    <t>CUST836</t>
  </si>
  <si>
    <t>CUST837</t>
  </si>
  <si>
    <t>CUST838</t>
  </si>
  <si>
    <t>CUST839</t>
  </si>
  <si>
    <t>CUST840</t>
  </si>
  <si>
    <t>CUST841</t>
  </si>
  <si>
    <t>CUST843</t>
  </si>
  <si>
    <t>CUST845</t>
  </si>
  <si>
    <t>CUST847</t>
  </si>
  <si>
    <t>CUST848</t>
  </si>
  <si>
    <t>CUST850</t>
  </si>
  <si>
    <t>CUST851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</si>
  <si>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</si>
  <si>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</si>
  <si>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</si>
  <si>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</si>
  <si>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</si>
  <si>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</si>
  <si>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</si>
  <si>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</si>
  <si>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CUST862</t>
  </si>
  <si>
    <t>CUST863</t>
  </si>
  <si>
    <t>CUST864</t>
  </si>
  <si>
    <t>CUST866</t>
  </si>
  <si>
    <t>CUST867</t>
  </si>
  <si>
    <t>CUST868</t>
  </si>
  <si>
    <t>CUST870</t>
  </si>
  <si>
    <t>CUST871</t>
  </si>
  <si>
    <t>CUST872</t>
  </si>
  <si>
    <t>CUST873</t>
  </si>
  <si>
    <t>CUST874</t>
  </si>
  <si>
    <t>CUST875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</si>
  <si>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</si>
  <si>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</si>
  <si>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</si>
  <si>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</si>
  <si>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</si>
  <si>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</si>
  <si>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</si>
  <si>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</si>
  <si>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</si>
  <si>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</si>
  <si>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</si>
  <si>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</si>
  <si>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</si>
  <si>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</si>
  <si>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</si>
  <si>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</si>
  <si>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</si>
  <si>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</si>
  <si>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</si>
  <si>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</si>
  <si>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</si>
  <si>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</si>
  <si>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</si>
  <si>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</si>
  <si>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</si>
  <si>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</si>
  <si>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</si>
  <si>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</si>
  <si>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</si>
  <si>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</si>
  <si>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</si>
  <si>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</si>
  <si>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</si>
  <si>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</si>
  <si>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</si>
  <si>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</si>
  <si>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</si>
  <si>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</si>
  <si>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</si>
  <si>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</si>
  <si>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</si>
  <si>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</si>
  <si>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</si>
  <si>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</si>
  <si>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CUST924</t>
  </si>
  <si>
    <t>CUST925</t>
  </si>
  <si>
    <t>CUST926</t>
  </si>
  <si>
    <t>CUST927</t>
  </si>
  <si>
    <t>CUST929</t>
  </si>
  <si>
    <t>CUST930</t>
  </si>
  <si>
    <t>CUST933</t>
  </si>
  <si>
    <t>CUST936</t>
  </si>
  <si>
    <t>CUST937</t>
  </si>
  <si>
    <t>CUST939</t>
  </si>
  <si>
    <t>CUST940</t>
  </si>
  <si>
    <t>CUST941</t>
  </si>
  <si>
    <t>CUST942</t>
  </si>
  <si>
    <t>CUST943</t>
  </si>
  <si>
    <t>CUST946</t>
  </si>
  <si>
    <t>CUST947</t>
  </si>
  <si>
    <t>CUST948</t>
  </si>
  <si>
    <t>CUST949</t>
  </si>
  <si>
    <t>CUST952</t>
  </si>
  <si>
    <t>CUST954</t>
  </si>
  <si>
    <t>CUST955</t>
  </si>
  <si>
    <t>CUST957</t>
  </si>
  <si>
    <t>CUST958</t>
  </si>
  <si>
    <t>CUST959</t>
  </si>
  <si>
    <t>CUST960</t>
  </si>
  <si>
    <t>CUST961</t>
  </si>
  <si>
    <t>CUST963</t>
  </si>
  <si>
    <t>CUST964</t>
  </si>
  <si>
    <t>CUST965</t>
  </si>
  <si>
    <t>CUST966</t>
  </si>
  <si>
    <t>CUST967</t>
  </si>
  <si>
    <t>CUST970</t>
  </si>
  <si>
    <t>CUST971</t>
  </si>
  <si>
    <t>CUST973</t>
  </si>
  <si>
    <t>CUST975</t>
  </si>
  <si>
    <t>CUST977</t>
  </si>
  <si>
    <t>CUST978</t>
  </si>
  <si>
    <t>CUST979</t>
  </si>
  <si>
    <t>CUST980</t>
  </si>
  <si>
    <t>CUST981</t>
  </si>
  <si>
    <t>CUST983</t>
  </si>
  <si>
    <t>CUST984</t>
  </si>
  <si>
    <t>CUST985</t>
  </si>
  <si>
    <t>CUST988</t>
  </si>
  <si>
    <t>CUST989</t>
  </si>
  <si>
    <t>CUST990</t>
  </si>
  <si>
    <t>CUST992</t>
  </si>
  <si>
    <t>CUST993</t>
  </si>
  <si>
    <t>CUST994</t>
  </si>
  <si>
    <t>CUST996</t>
  </si>
  <si>
    <t>CUST997</t>
  </si>
  <si>
    <t>CUST998</t>
  </si>
  <si>
    <t>CUST999</t>
  </si>
  <si>
    <t>CUST1000</t>
  </si>
  <si>
    <t>Product category</t>
  </si>
  <si>
    <t>Concatenate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</si>
  <si>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</si>
  <si>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</si>
  <si>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</si>
  <si>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</si>
  <si>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</si>
  <si>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</si>
  <si>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</si>
  <si>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John</t>
  </si>
  <si>
    <t>Edward</t>
  </si>
  <si>
    <t>Khan</t>
  </si>
  <si>
    <t>Ted</t>
  </si>
  <si>
    <t>Harry</t>
  </si>
  <si>
    <t>Sarah</t>
  </si>
  <si>
    <t>Mary</t>
  </si>
  <si>
    <t>Linda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</si>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</sst>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General;;&quot;&quot;;@"/>
    <numFmt numFmtId="166" formatCode="_-[$£-809]* #,##0.00_-;\-[$£-809]* #,##0.00_-;_-[$£-809]* &quot;-&quot;??_-;_-@_-"/>
    <numFmt numFmtId="167" formatCode="&quot;£&quot;#,##0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18" fillId="0" borderId="13" xfId="0" applyFont="1" applyBorder="1"/>
    <xf numFmtId="0" fontId="18" fillId="0" borderId="14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5" fontId="20" fillId="0" borderId="16" xfId="0" applyNumberFormat="1" applyFont="1" applyBorder="1" applyAlignment="1">
      <alignment horizontal="left"/>
    </xf>
    <xf numFmtId="10" fontId="0" fillId="0" borderId="0" xfId="0" applyNumberFormat="1"/>
    <xf numFmtId="9" fontId="0" fillId="0" borderId="0" xfId="0" applyNumberFormat="1"/>
    <xf numFmtId="164" fontId="0" fillId="0" borderId="0" xfId="0" applyNumberFormat="1"/>
    <xf numFmtId="166" fontId="0" fillId="0" borderId="0" xfId="0" applyNumberFormat="1"/>
    <xf numFmtId="166" fontId="16" fillId="0" borderId="0" xfId="0" applyNumberFormat="1" applyFont="1"/>
    <xf numFmtId="0" fontId="0" fillId="0" borderId="0" xfId="0" pivotButton="1"/>
    <xf numFmtId="14" fontId="0" fillId="0" borderId="0" xfId="0" applyNumberFormat="1"/>
    <xf numFmtId="2" fontId="19" fillId="0" borderId="16" xfId="0" applyNumberFormat="1" applyFont="1" applyBorder="1"/>
    <xf numFmtId="167" fontId="18" fillId="0" borderId="15" xfId="0" applyNumberFormat="1" applyFont="1" applyBorder="1"/>
    <xf numFmtId="167" fontId="0" fillId="0" borderId="15" xfId="0" applyNumberFormat="1" applyBorder="1"/>
    <xf numFmtId="167" fontId="0" fillId="0" borderId="12" xfId="0" applyNumberFormat="1" applyBorder="1"/>
    <xf numFmtId="167" fontId="0" fillId="0" borderId="0" xfId="0" applyNumberFormat="1"/>
    <xf numFmtId="167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9" formatCode="dd/mm/yyyy"/>
    </dxf>
    <dxf>
      <numFmt numFmtId="19" formatCode="dd/mm/yyyy"/>
    </dxf>
    <dxf>
      <numFmt numFmtId="166" formatCode="_-[$£-809]* #,##0.00_-;\-[$£-809]* #,##0.00_-;_-[$£-809]* &quot;-&quot;??_-;_-@_-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5.xml"/><Relationship Id="rId18" Type="http://schemas.openxmlformats.org/officeDocument/2006/relationships/sheetMetadata" Target="metadata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7" Type="http://schemas.openxmlformats.org/officeDocument/2006/relationships/worksheet" Target="worksheets/sheet7.xml"/><Relationship Id="rId12" Type="http://schemas.microsoft.com/office/2007/relationships/slicerCache" Target="slicerCaches/slicerCache4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29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microsoft.com/office/2007/relationships/slicerCache" Target="slicerCaches/slicerCache2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Mena.xlsx]Sheet1!PivotTable1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Gender and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472C4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Sheet1!$B$5:$B$8</c:f>
              <c:numCache>
                <c:formatCode>0.00%</c:formatCode>
                <c:ptCount val="3"/>
                <c:pt idx="0">
                  <c:v>0.16410087719298247</c:v>
                </c:pt>
                <c:pt idx="1">
                  <c:v>0.17823464912280701</c:v>
                </c:pt>
                <c:pt idx="2">
                  <c:v>0.16827850877192982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9-4612-ADFD-666FA7BFE5D3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Sheet1!$C$5:$C$8</c:f>
              <c:numCache>
                <c:formatCode>0.00%</c:formatCode>
                <c:ptCount val="3"/>
                <c:pt idx="0">
                  <c:v>0.15062500000000001</c:v>
                </c:pt>
                <c:pt idx="1">
                  <c:v>0.16294956140350877</c:v>
                </c:pt>
                <c:pt idx="2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59-4612-ADFD-666FA7BFE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4623368"/>
        <c:axId val="1525494280"/>
      </c:barChart>
      <c:catAx>
        <c:axId val="1524623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494280"/>
        <c:crosses val="autoZero"/>
        <c:auto val="1"/>
        <c:lblAlgn val="ctr"/>
        <c:lblOffset val="100"/>
        <c:noMultiLvlLbl val="0"/>
      </c:catAx>
      <c:valAx>
        <c:axId val="1525494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623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Mena.xlsx]Sheet2!PivotTable2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Generations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Sheet2!$B$5:$B$8</c:f>
              <c:numCache>
                <c:formatCode>0.00%</c:formatCode>
                <c:ptCount val="3"/>
                <c:pt idx="0">
                  <c:v>0.14918859649122806</c:v>
                </c:pt>
                <c:pt idx="1">
                  <c:v>0.13675438596491227</c:v>
                </c:pt>
                <c:pt idx="2">
                  <c:v>0.13004385964912279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0-47F0-9586-E6BDC1154652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Sheet2!$C$5:$C$8</c:f>
              <c:numCache>
                <c:formatCode>0.00%</c:formatCode>
                <c:ptCount val="3"/>
                <c:pt idx="0">
                  <c:v>7.4747807017543855E-2</c:v>
                </c:pt>
                <c:pt idx="1">
                  <c:v>0.10322368421052631</c:v>
                </c:pt>
                <c:pt idx="2">
                  <c:v>0.13596491228070176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980-47F0-9586-E6BDC1154652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Sheet2!$D$5:$D$8</c:f>
              <c:numCache>
                <c:formatCode>0.00%</c:formatCode>
                <c:ptCount val="3"/>
                <c:pt idx="0">
                  <c:v>9.0789473684210531E-2</c:v>
                </c:pt>
                <c:pt idx="1">
                  <c:v>0.10120614035087719</c:v>
                </c:pt>
                <c:pt idx="2">
                  <c:v>7.8081140350877196E-2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80-47F0-9586-E6BDC1154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6207624"/>
        <c:axId val="1665942024"/>
      </c:barChart>
      <c:catAx>
        <c:axId val="1636207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42024"/>
        <c:crosses val="autoZero"/>
        <c:auto val="1"/>
        <c:lblAlgn val="ctr"/>
        <c:lblOffset val="100"/>
        <c:noMultiLvlLbl val="0"/>
      </c:catAx>
      <c:valAx>
        <c:axId val="1665942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207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1</xdr:row>
      <xdr:rowOff>19050</xdr:rowOff>
    </xdr:from>
    <xdr:to>
      <xdr:col>19</xdr:col>
      <xdr:colOff>171450</xdr:colOff>
      <xdr:row>17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47FA8D-941C-E682-AE50-48A1E94BB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38100</xdr:colOff>
      <xdr:row>9</xdr:row>
      <xdr:rowOff>133350</xdr:rowOff>
    </xdr:from>
    <xdr:to>
      <xdr:col>6</xdr:col>
      <xdr:colOff>438150</xdr:colOff>
      <xdr:row>22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der 1">
              <a:extLst>
                <a:ext uri="{FF2B5EF4-FFF2-40B4-BE49-F238E27FC236}">
                  <a16:creationId xmlns:a16="http://schemas.microsoft.com/office/drawing/2014/main" id="{25F392A7-66CC-F652-2EA9-5DEADA706D6B}"/>
                </a:ext>
                <a:ext uri="{147F2762-F138-4A5C-976F-8EAC2B608ADB}">
                  <a16:predDERef xmlns:a16="http://schemas.microsoft.com/office/drawing/2014/main" pred="{7C47FA8D-941C-E682-AE50-48A1E94BB4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52825" y="19335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933450</xdr:colOff>
      <xdr:row>9</xdr:row>
      <xdr:rowOff>161925</xdr:rowOff>
    </xdr:from>
    <xdr:to>
      <xdr:col>2</xdr:col>
      <xdr:colOff>600075</xdr:colOff>
      <xdr:row>23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ct Category 1">
              <a:extLst>
                <a:ext uri="{FF2B5EF4-FFF2-40B4-BE49-F238E27FC236}">
                  <a16:creationId xmlns:a16="http://schemas.microsoft.com/office/drawing/2014/main" id="{73BF1FDF-D61E-078C-390B-230FA9AE223D}"/>
                </a:ext>
                <a:ext uri="{147F2762-F138-4A5C-976F-8EAC2B608ADB}">
                  <a16:predDERef xmlns:a16="http://schemas.microsoft.com/office/drawing/2014/main" pred="{25F392A7-66CC-F652-2EA9-5DEADA706D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3450" y="19621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</xdr:row>
      <xdr:rowOff>171450</xdr:rowOff>
    </xdr:from>
    <xdr:to>
      <xdr:col>17</xdr:col>
      <xdr:colOff>209550</xdr:colOff>
      <xdr:row>20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91FB41-2DD3-A5A2-3B7E-1439E80A6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9</xdr:row>
      <xdr:rowOff>180975</xdr:rowOff>
    </xdr:from>
    <xdr:to>
      <xdr:col>1</xdr:col>
      <xdr:colOff>657225</xdr:colOff>
      <xdr:row>23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der">
              <a:extLst>
                <a:ext uri="{FF2B5EF4-FFF2-40B4-BE49-F238E27FC236}">
                  <a16:creationId xmlns:a16="http://schemas.microsoft.com/office/drawing/2014/main" id="{8A5F2D8A-7A4C-6414-7F83-B9387D3E8868}"/>
                </a:ext>
                <a:ext uri="{147F2762-F138-4A5C-976F-8EAC2B608ADB}">
                  <a16:predDERef xmlns:a16="http://schemas.microsoft.com/office/drawing/2014/main" pred="{0691FB41-2DD3-A5A2-3B7E-1439E80A67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" y="19812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114300</xdr:colOff>
      <xdr:row>10</xdr:row>
      <xdr:rowOff>0</xdr:rowOff>
    </xdr:from>
    <xdr:to>
      <xdr:col>4</xdr:col>
      <xdr:colOff>552450</xdr:colOff>
      <xdr:row>23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Generation">
              <a:extLst>
                <a:ext uri="{FF2B5EF4-FFF2-40B4-BE49-F238E27FC236}">
                  <a16:creationId xmlns:a16="http://schemas.microsoft.com/office/drawing/2014/main" id="{8671B77E-449A-85E7-BF09-F5835162FC82}"/>
                </a:ext>
                <a:ext uri="{147F2762-F138-4A5C-976F-8EAC2B608ADB}">
                  <a16:predDERef xmlns:a16="http://schemas.microsoft.com/office/drawing/2014/main" pred="{8A5F2D8A-7A4C-6414-7F83-B9387D3E88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24125" y="2000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228600</xdr:colOff>
      <xdr:row>10</xdr:row>
      <xdr:rowOff>0</xdr:rowOff>
    </xdr:from>
    <xdr:to>
      <xdr:col>7</xdr:col>
      <xdr:colOff>552450</xdr:colOff>
      <xdr:row>23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duct Category">
              <a:extLst>
                <a:ext uri="{FF2B5EF4-FFF2-40B4-BE49-F238E27FC236}">
                  <a16:creationId xmlns:a16="http://schemas.microsoft.com/office/drawing/2014/main" id="{0B7AC1D9-BC52-D66D-737A-F0644E09211C}"/>
                </a:ext>
                <a:ext uri="{147F2762-F138-4A5C-976F-8EAC2B608ADB}">
                  <a16:predDERef xmlns:a16="http://schemas.microsoft.com/office/drawing/2014/main" pred="{8671B77E-449A-85E7-BF09-F5835162FC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48225" y="2000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8.607527199078" createdVersion="8" refreshedVersion="8" minRefreshableVersion="3" recordCount="1000" xr:uid="{45BF3729-0F57-43F8-8AB2-5CE6F594772A}">
  <cacheSource type="worksheet">
    <worksheetSource ref="A1:Q1001" sheet="retail_sales_dataset"/>
  </cacheSource>
  <cacheFields count="17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y Name" numFmtId="0">
      <sharedItems/>
    </cacheField>
    <cacheField name="Month Name" numFmtId="0">
      <sharedItems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Generation" numFmtId="0">
      <sharedItems count="3">
        <s v="Adult"/>
        <s v="Young Adult"/>
        <s v="Senior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Sales" numFmtId="0">
      <sharedItems containsSemiMixedTypes="0" containsString="0" containsNumber="1" containsInteger="1" minValue="25" maxValue="2000"/>
    </cacheField>
    <cacheField name="Commision 2023" numFmtId="166">
      <sharedItems containsSemiMixedTypes="0" containsString="0" containsNumber="1" minValue="0.375" maxValue="30"/>
    </cacheField>
    <cacheField name="Commision 2024" numFmtId="166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 pivotCacheId="16584379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s v="Fri"/>
    <s v="Nov"/>
    <d v="2023-11-24T00:00:00"/>
    <s v="CUST001"/>
    <x v="0"/>
    <x v="0"/>
    <n v="34"/>
    <x v="0"/>
    <n v="3"/>
    <n v="50"/>
    <n v="150"/>
    <n v="2.25"/>
    <n v="3"/>
  </r>
  <r>
    <n v="2"/>
    <n v="27"/>
    <n v="2"/>
    <n v="2023"/>
    <s v="Mon"/>
    <s v="Feb"/>
    <d v="2023-02-27T00:00:00"/>
    <s v="CUST002"/>
    <x v="1"/>
    <x v="1"/>
    <n v="26"/>
    <x v="1"/>
    <n v="2"/>
    <n v="500"/>
    <n v="1000"/>
    <n v="15"/>
    <n v="20"/>
  </r>
  <r>
    <n v="3"/>
    <n v="13"/>
    <n v="1"/>
    <n v="2023"/>
    <s v="Fri"/>
    <s v="Jan"/>
    <d v="2023-01-13T00:00:00"/>
    <s v="CUST003"/>
    <x v="0"/>
    <x v="2"/>
    <n v="50"/>
    <x v="2"/>
    <n v="1"/>
    <n v="30"/>
    <n v="30"/>
    <n v="0.44999999999999996"/>
    <n v="0.6"/>
  </r>
  <r>
    <n v="4"/>
    <n v="21"/>
    <n v="5"/>
    <n v="2023"/>
    <s v="Sun"/>
    <s v="May"/>
    <d v="2023-05-21T00:00:00"/>
    <s v="CUST004"/>
    <x v="0"/>
    <x v="0"/>
    <n v="37"/>
    <x v="1"/>
    <n v="1"/>
    <n v="500"/>
    <n v="500"/>
    <n v="7.5"/>
    <n v="10"/>
  </r>
  <r>
    <n v="5"/>
    <n v="6"/>
    <n v="5"/>
    <n v="2023"/>
    <s v="Sat"/>
    <s v="May"/>
    <d v="2023-05-06T00:00:00"/>
    <s v="CUST005"/>
    <x v="0"/>
    <x v="0"/>
    <n v="30"/>
    <x v="0"/>
    <n v="2"/>
    <n v="50"/>
    <n v="100"/>
    <n v="1.5"/>
    <n v="2"/>
  </r>
  <r>
    <n v="6"/>
    <n v="25"/>
    <n v="4"/>
    <n v="2023"/>
    <s v="Tue"/>
    <s v="Apr"/>
    <d v="2023-04-25T00:00:00"/>
    <s v="CUST006"/>
    <x v="1"/>
    <x v="0"/>
    <n v="45"/>
    <x v="0"/>
    <n v="1"/>
    <n v="30"/>
    <n v="30"/>
    <n v="0.44999999999999996"/>
    <n v="0.6"/>
  </r>
  <r>
    <n v="7"/>
    <n v="13"/>
    <n v="3"/>
    <n v="2023"/>
    <s v="Mon"/>
    <s v="Mar"/>
    <d v="2023-03-13T00:00:00"/>
    <s v="CUST007"/>
    <x v="0"/>
    <x v="0"/>
    <n v="46"/>
    <x v="1"/>
    <n v="2"/>
    <n v="25"/>
    <n v="50"/>
    <n v="0.75"/>
    <n v="1"/>
  </r>
  <r>
    <n v="8"/>
    <n v="22"/>
    <n v="2"/>
    <n v="2023"/>
    <s v="Wed"/>
    <s v="Feb"/>
    <d v="2023-02-22T00:00:00"/>
    <s v="CUST008"/>
    <x v="0"/>
    <x v="0"/>
    <n v="30"/>
    <x v="2"/>
    <n v="4"/>
    <n v="25"/>
    <n v="100"/>
    <n v="1.5"/>
    <n v="2"/>
  </r>
  <r>
    <n v="9"/>
    <n v="13"/>
    <n v="12"/>
    <n v="2023"/>
    <s v="Wed"/>
    <s v="Dec"/>
    <d v="2023-12-13T00:00:00"/>
    <s v="CUST009"/>
    <x v="0"/>
    <x v="2"/>
    <n v="63"/>
    <x v="2"/>
    <n v="2"/>
    <n v="300"/>
    <n v="600"/>
    <n v="9"/>
    <n v="12"/>
  </r>
  <r>
    <n v="10"/>
    <n v="7"/>
    <n v="10"/>
    <n v="2023"/>
    <s v="Sat"/>
    <s v="Oct"/>
    <d v="2023-10-07T00:00:00"/>
    <s v="CUST010"/>
    <x v="1"/>
    <x v="2"/>
    <n v="52"/>
    <x v="1"/>
    <n v="4"/>
    <n v="50"/>
    <n v="200"/>
    <n v="3"/>
    <n v="4"/>
  </r>
  <r>
    <n v="11"/>
    <n v="14"/>
    <n v="2"/>
    <n v="2023"/>
    <s v="Tue"/>
    <s v="Feb"/>
    <d v="2023-02-14T00:00:00"/>
    <s v="CUST011"/>
    <x v="0"/>
    <x v="1"/>
    <n v="23"/>
    <x v="1"/>
    <n v="2"/>
    <n v="50"/>
    <n v="100"/>
    <n v="1.5"/>
    <n v="2"/>
  </r>
  <r>
    <n v="12"/>
    <n v="30"/>
    <n v="10"/>
    <n v="2023"/>
    <s v="Mon"/>
    <s v="Oct"/>
    <d v="2023-10-30T00:00:00"/>
    <s v="CUST012"/>
    <x v="0"/>
    <x v="0"/>
    <n v="35"/>
    <x v="0"/>
    <n v="3"/>
    <n v="25"/>
    <n v="75"/>
    <n v="1.125"/>
    <n v="1.5"/>
  </r>
  <r>
    <n v="13"/>
    <n v="5"/>
    <n v="8"/>
    <n v="2023"/>
    <s v="Sat"/>
    <s v="Aug"/>
    <d v="2023-08-05T00:00:00"/>
    <s v="CUST013"/>
    <x v="0"/>
    <x v="1"/>
    <n v="22"/>
    <x v="2"/>
    <n v="3"/>
    <n v="500"/>
    <n v="1500"/>
    <n v="22.5"/>
    <n v="30"/>
  </r>
  <r>
    <n v="14"/>
    <n v="17"/>
    <n v="1"/>
    <n v="2023"/>
    <s v="Tue"/>
    <s v="Jan"/>
    <d v="2023-01-17T00:00:00"/>
    <s v="CUST014"/>
    <x v="0"/>
    <x v="2"/>
    <n v="64"/>
    <x v="1"/>
    <n v="4"/>
    <n v="30"/>
    <n v="120"/>
    <n v="1.7999999999999998"/>
    <n v="2.4"/>
  </r>
  <r>
    <n v="15"/>
    <n v="16"/>
    <n v="1"/>
    <n v="2023"/>
    <s v="Mon"/>
    <s v="Jan"/>
    <d v="2023-01-16T00:00:00"/>
    <s v="CUST015"/>
    <x v="1"/>
    <x v="0"/>
    <n v="42"/>
    <x v="2"/>
    <n v="4"/>
    <n v="500"/>
    <n v="2000"/>
    <n v="30"/>
    <n v="40"/>
  </r>
  <r>
    <n v="16"/>
    <n v="17"/>
    <n v="2"/>
    <n v="2023"/>
    <s v="Fri"/>
    <s v="Feb"/>
    <d v="2023-02-17T00:00:00"/>
    <s v="CUST016"/>
    <x v="0"/>
    <x v="1"/>
    <n v="19"/>
    <x v="1"/>
    <n v="3"/>
    <n v="500"/>
    <n v="1500"/>
    <n v="22.5"/>
    <n v="30"/>
  </r>
  <r>
    <n v="17"/>
    <n v="22"/>
    <n v="4"/>
    <n v="2023"/>
    <s v="Sat"/>
    <s v="Apr"/>
    <d v="2023-04-22T00:00:00"/>
    <s v="CUST017"/>
    <x v="1"/>
    <x v="1"/>
    <n v="27"/>
    <x v="1"/>
    <n v="4"/>
    <n v="25"/>
    <n v="100"/>
    <n v="1.5"/>
    <n v="2"/>
  </r>
  <r>
    <n v="18"/>
    <n v="30"/>
    <n v="4"/>
    <n v="2023"/>
    <s v="Sun"/>
    <s v="Apr"/>
    <d v="2023-04-30T00:00:00"/>
    <s v="CUST018"/>
    <x v="1"/>
    <x v="0"/>
    <n v="47"/>
    <x v="2"/>
    <n v="2"/>
    <n v="25"/>
    <n v="50"/>
    <n v="0.75"/>
    <n v="1"/>
  </r>
  <r>
    <n v="19"/>
    <n v="16"/>
    <n v="9"/>
    <n v="2023"/>
    <s v="Sat"/>
    <s v="Sep"/>
    <d v="2023-09-16T00:00:00"/>
    <s v="CUST019"/>
    <x v="1"/>
    <x v="2"/>
    <n v="62"/>
    <x v="1"/>
    <n v="2"/>
    <n v="25"/>
    <n v="50"/>
    <n v="0.75"/>
    <n v="1"/>
  </r>
  <r>
    <n v="20"/>
    <n v="5"/>
    <n v="11"/>
    <n v="2023"/>
    <s v="Sun"/>
    <s v="Nov"/>
    <d v="2023-11-05T00:00:00"/>
    <s v="CUST020"/>
    <x v="0"/>
    <x v="1"/>
    <n v="22"/>
    <x v="1"/>
    <n v="3"/>
    <n v="300"/>
    <n v="900"/>
    <n v="13.5"/>
    <n v="18"/>
  </r>
  <r>
    <n v="21"/>
    <n v="14"/>
    <n v="1"/>
    <n v="2023"/>
    <s v="Sat"/>
    <s v="Jan"/>
    <d v="2023-01-14T00:00:00"/>
    <s v="CUST021"/>
    <x v="1"/>
    <x v="2"/>
    <n v="50"/>
    <x v="0"/>
    <n v="1"/>
    <n v="500"/>
    <n v="500"/>
    <n v="7.5"/>
    <n v="10"/>
  </r>
  <r>
    <n v="22"/>
    <n v="15"/>
    <n v="10"/>
    <n v="2023"/>
    <s v="Sun"/>
    <s v="Oct"/>
    <d v="2023-10-15T00:00:00"/>
    <s v="CUST022"/>
    <x v="0"/>
    <x v="1"/>
    <n v="18"/>
    <x v="1"/>
    <n v="2"/>
    <n v="50"/>
    <n v="100"/>
    <n v="1.5"/>
    <n v="2"/>
  </r>
  <r>
    <n v="23"/>
    <n v="12"/>
    <n v="4"/>
    <n v="2023"/>
    <s v="Wed"/>
    <s v="Apr"/>
    <d v="2023-04-12T00:00:00"/>
    <s v="CUST023"/>
    <x v="1"/>
    <x v="0"/>
    <n v="35"/>
    <x v="1"/>
    <n v="4"/>
    <n v="30"/>
    <n v="120"/>
    <n v="1.7999999999999998"/>
    <n v="2.4"/>
  </r>
  <r>
    <n v="24"/>
    <n v="29"/>
    <n v="11"/>
    <n v="2023"/>
    <s v="Wed"/>
    <s v="Nov"/>
    <d v="2023-11-29T00:00:00"/>
    <s v="CUST024"/>
    <x v="1"/>
    <x v="0"/>
    <n v="49"/>
    <x v="1"/>
    <n v="1"/>
    <n v="300"/>
    <n v="300"/>
    <n v="4.5"/>
    <n v="6"/>
  </r>
  <r>
    <n v="25"/>
    <n v="26"/>
    <n v="12"/>
    <n v="2023"/>
    <s v="Tue"/>
    <s v="Dec"/>
    <d v="2023-12-26T00:00:00"/>
    <s v="CUST025"/>
    <x v="1"/>
    <x v="2"/>
    <n v="64"/>
    <x v="0"/>
    <n v="1"/>
    <n v="50"/>
    <n v="50"/>
    <n v="0.75"/>
    <n v="1"/>
  </r>
  <r>
    <n v="26"/>
    <n v="7"/>
    <n v="10"/>
    <n v="2023"/>
    <s v="Sat"/>
    <s v="Oct"/>
    <d v="2023-10-07T00:00:00"/>
    <s v="CUST026"/>
    <x v="1"/>
    <x v="1"/>
    <n v="28"/>
    <x v="2"/>
    <n v="2"/>
    <n v="500"/>
    <n v="1000"/>
    <n v="15"/>
    <n v="20"/>
  </r>
  <r>
    <n v="27"/>
    <n v="3"/>
    <n v="8"/>
    <n v="2023"/>
    <s v="Thu"/>
    <s v="Aug"/>
    <d v="2023-08-03T00:00:00"/>
    <s v="CUST027"/>
    <x v="1"/>
    <x v="0"/>
    <n v="38"/>
    <x v="0"/>
    <n v="2"/>
    <n v="25"/>
    <n v="50"/>
    <n v="0.75"/>
    <n v="1"/>
  </r>
  <r>
    <n v="28"/>
    <n v="23"/>
    <n v="4"/>
    <n v="2023"/>
    <s v="Sun"/>
    <s v="Apr"/>
    <d v="2023-04-23T00:00:00"/>
    <s v="CUST028"/>
    <x v="1"/>
    <x v="0"/>
    <n v="43"/>
    <x v="0"/>
    <n v="1"/>
    <n v="500"/>
    <n v="500"/>
    <n v="7.5"/>
    <n v="10"/>
  </r>
  <r>
    <n v="29"/>
    <n v="18"/>
    <n v="8"/>
    <n v="2023"/>
    <s v="Fri"/>
    <s v="Aug"/>
    <d v="2023-08-18T00:00:00"/>
    <s v="CUST029"/>
    <x v="1"/>
    <x v="0"/>
    <n v="42"/>
    <x v="2"/>
    <n v="1"/>
    <n v="30"/>
    <n v="30"/>
    <n v="0.44999999999999996"/>
    <n v="0.6"/>
  </r>
  <r>
    <n v="30"/>
    <n v="29"/>
    <n v="10"/>
    <n v="2023"/>
    <s v="Sun"/>
    <s v="Oct"/>
    <d v="2023-10-29T00:00:00"/>
    <s v="CUST030"/>
    <x v="1"/>
    <x v="0"/>
    <n v="39"/>
    <x v="0"/>
    <n v="3"/>
    <n v="300"/>
    <n v="900"/>
    <n v="13.5"/>
    <n v="18"/>
  </r>
  <r>
    <n v="31"/>
    <n v="23"/>
    <n v="5"/>
    <n v="2023"/>
    <s v="Tue"/>
    <s v="May"/>
    <d v="2023-05-23T00:00:00"/>
    <s v="CUST031"/>
    <x v="0"/>
    <x v="0"/>
    <n v="44"/>
    <x v="2"/>
    <n v="4"/>
    <n v="300"/>
    <n v="1200"/>
    <n v="18"/>
    <n v="24"/>
  </r>
  <r>
    <n v="32"/>
    <n v="4"/>
    <n v="1"/>
    <n v="2023"/>
    <s v="Wed"/>
    <s v="Jan"/>
    <d v="2023-01-04T00:00:00"/>
    <s v="CUST032"/>
    <x v="0"/>
    <x v="0"/>
    <n v="30"/>
    <x v="0"/>
    <n v="3"/>
    <n v="30"/>
    <n v="90"/>
    <n v="1.3499999999999999"/>
    <n v="1.8"/>
  </r>
  <r>
    <n v="33"/>
    <n v="23"/>
    <n v="3"/>
    <n v="2023"/>
    <s v="Thu"/>
    <s v="Mar"/>
    <d v="2023-03-23T00:00:00"/>
    <s v="CUST033"/>
    <x v="1"/>
    <x v="2"/>
    <n v="50"/>
    <x v="2"/>
    <n v="2"/>
    <n v="50"/>
    <n v="100"/>
    <n v="1.5"/>
    <n v="2"/>
  </r>
  <r>
    <n v="34"/>
    <n v="24"/>
    <n v="12"/>
    <n v="2023"/>
    <s v="Sun"/>
    <s v="Dec"/>
    <d v="2023-12-24T00:00:00"/>
    <s v="CUST034"/>
    <x v="1"/>
    <x v="2"/>
    <n v="51"/>
    <x v="1"/>
    <n v="3"/>
    <n v="50"/>
    <n v="150"/>
    <n v="2.25"/>
    <n v="3"/>
  </r>
  <r>
    <n v="35"/>
    <n v="5"/>
    <n v="8"/>
    <n v="2023"/>
    <s v="Sat"/>
    <s v="Aug"/>
    <d v="2023-08-05T00:00:00"/>
    <s v="CUST035"/>
    <x v="1"/>
    <x v="2"/>
    <n v="58"/>
    <x v="0"/>
    <n v="3"/>
    <n v="300"/>
    <n v="900"/>
    <n v="13.5"/>
    <n v="18"/>
  </r>
  <r>
    <n v="36"/>
    <n v="24"/>
    <n v="6"/>
    <n v="2023"/>
    <s v="Sat"/>
    <s v="Jun"/>
    <d v="2023-06-24T00:00:00"/>
    <s v="CUST036"/>
    <x v="0"/>
    <x v="2"/>
    <n v="52"/>
    <x v="0"/>
    <n v="3"/>
    <n v="300"/>
    <n v="900"/>
    <n v="13.5"/>
    <n v="18"/>
  </r>
  <r>
    <n v="37"/>
    <n v="23"/>
    <n v="5"/>
    <n v="2023"/>
    <s v="Tue"/>
    <s v="May"/>
    <d v="2023-05-23T00:00:00"/>
    <s v="CUST037"/>
    <x v="1"/>
    <x v="1"/>
    <n v="18"/>
    <x v="0"/>
    <n v="3"/>
    <n v="25"/>
    <n v="75"/>
    <n v="1.125"/>
    <n v="1.5"/>
  </r>
  <r>
    <n v="38"/>
    <n v="21"/>
    <n v="3"/>
    <n v="2023"/>
    <s v="Tue"/>
    <s v="Mar"/>
    <d v="2023-03-21T00:00:00"/>
    <s v="CUST038"/>
    <x v="0"/>
    <x v="0"/>
    <n v="38"/>
    <x v="0"/>
    <n v="4"/>
    <n v="50"/>
    <n v="200"/>
    <n v="3"/>
    <n v="4"/>
  </r>
  <r>
    <n v="39"/>
    <n v="21"/>
    <n v="4"/>
    <n v="2023"/>
    <s v="Fri"/>
    <s v="Apr"/>
    <d v="2023-04-21T00:00:00"/>
    <s v="CUST039"/>
    <x v="0"/>
    <x v="1"/>
    <n v="23"/>
    <x v="1"/>
    <n v="4"/>
    <n v="30"/>
    <n v="120"/>
    <n v="1.7999999999999998"/>
    <n v="2.4"/>
  </r>
  <r>
    <n v="40"/>
    <n v="22"/>
    <n v="6"/>
    <n v="2023"/>
    <s v="Thu"/>
    <s v="Jun"/>
    <d v="2023-06-22T00:00:00"/>
    <s v="CUST040"/>
    <x v="0"/>
    <x v="0"/>
    <n v="45"/>
    <x v="0"/>
    <n v="1"/>
    <n v="50"/>
    <n v="50"/>
    <n v="0.75"/>
    <n v="1"/>
  </r>
  <r>
    <n v="41"/>
    <n v="22"/>
    <n v="2"/>
    <n v="2023"/>
    <s v="Wed"/>
    <s v="Feb"/>
    <d v="2023-02-22T00:00:00"/>
    <s v="CUST041"/>
    <x v="0"/>
    <x v="0"/>
    <n v="34"/>
    <x v="1"/>
    <n v="2"/>
    <n v="25"/>
    <n v="50"/>
    <n v="0.75"/>
    <n v="1"/>
  </r>
  <r>
    <n v="42"/>
    <n v="17"/>
    <n v="2"/>
    <n v="2023"/>
    <s v="Fri"/>
    <s v="Feb"/>
    <d v="2023-02-17T00:00:00"/>
    <s v="CUST042"/>
    <x v="0"/>
    <x v="1"/>
    <n v="22"/>
    <x v="1"/>
    <n v="3"/>
    <n v="300"/>
    <n v="900"/>
    <n v="13.5"/>
    <n v="18"/>
  </r>
  <r>
    <n v="43"/>
    <n v="14"/>
    <n v="7"/>
    <n v="2023"/>
    <s v="Fri"/>
    <s v="Jul"/>
    <d v="2023-07-14T00:00:00"/>
    <s v="CUST043"/>
    <x v="1"/>
    <x v="0"/>
    <n v="48"/>
    <x v="1"/>
    <n v="1"/>
    <n v="300"/>
    <n v="300"/>
    <n v="4.5"/>
    <n v="6"/>
  </r>
  <r>
    <n v="44"/>
    <n v="19"/>
    <n v="2"/>
    <n v="2023"/>
    <s v="Sun"/>
    <s v="Feb"/>
    <d v="2023-02-19T00:00:00"/>
    <s v="CUST044"/>
    <x v="1"/>
    <x v="1"/>
    <n v="22"/>
    <x v="1"/>
    <n v="1"/>
    <n v="25"/>
    <n v="25"/>
    <n v="0.375"/>
    <n v="0.5"/>
  </r>
  <r>
    <n v="45"/>
    <n v="3"/>
    <n v="7"/>
    <n v="2023"/>
    <s v="Mon"/>
    <s v="Jul"/>
    <d v="2023-07-03T00:00:00"/>
    <s v="CUST045"/>
    <x v="1"/>
    <x v="2"/>
    <n v="55"/>
    <x v="2"/>
    <n v="1"/>
    <n v="30"/>
    <n v="30"/>
    <n v="0.44999999999999996"/>
    <n v="0.6"/>
  </r>
  <r>
    <n v="46"/>
    <n v="26"/>
    <n v="6"/>
    <n v="2023"/>
    <s v="Mon"/>
    <s v="Jun"/>
    <d v="2023-06-26T00:00:00"/>
    <s v="CUST046"/>
    <x v="1"/>
    <x v="1"/>
    <n v="20"/>
    <x v="2"/>
    <n v="4"/>
    <n v="300"/>
    <n v="1200"/>
    <n v="18"/>
    <n v="24"/>
  </r>
  <r>
    <n v="47"/>
    <n v="6"/>
    <n v="11"/>
    <n v="2023"/>
    <s v="Mon"/>
    <s v="Nov"/>
    <d v="2023-11-06T00:00:00"/>
    <s v="CUST047"/>
    <x v="1"/>
    <x v="0"/>
    <n v="40"/>
    <x v="0"/>
    <n v="3"/>
    <n v="500"/>
    <n v="1500"/>
    <n v="22.5"/>
    <n v="30"/>
  </r>
  <r>
    <n v="48"/>
    <n v="16"/>
    <n v="5"/>
    <n v="2023"/>
    <s v="Tue"/>
    <s v="May"/>
    <d v="2023-05-16T00:00:00"/>
    <s v="CUST048"/>
    <x v="0"/>
    <x v="2"/>
    <n v="54"/>
    <x v="2"/>
    <n v="3"/>
    <n v="300"/>
    <n v="900"/>
    <n v="13.5"/>
    <n v="18"/>
  </r>
  <r>
    <n v="49"/>
    <n v="23"/>
    <n v="1"/>
    <n v="2023"/>
    <s v="Mon"/>
    <s v="Jan"/>
    <d v="2023-01-23T00:00:00"/>
    <s v="CUST049"/>
    <x v="1"/>
    <x v="2"/>
    <n v="54"/>
    <x v="2"/>
    <n v="2"/>
    <n v="500"/>
    <n v="1000"/>
    <n v="15"/>
    <n v="20"/>
  </r>
  <r>
    <n v="50"/>
    <n v="24"/>
    <n v="8"/>
    <n v="2023"/>
    <s v="Thu"/>
    <s v="Aug"/>
    <d v="2023-08-24T00:00:00"/>
    <s v="CUST050"/>
    <x v="1"/>
    <x v="1"/>
    <n v="27"/>
    <x v="0"/>
    <n v="3"/>
    <n v="25"/>
    <n v="75"/>
    <n v="1.125"/>
    <n v="1.5"/>
  </r>
  <r>
    <n v="51"/>
    <n v="2"/>
    <n v="10"/>
    <n v="2023"/>
    <s v="Mon"/>
    <s v="Oct"/>
    <d v="2023-10-02T00:00:00"/>
    <s v="CUST051"/>
    <x v="0"/>
    <x v="1"/>
    <n v="27"/>
    <x v="0"/>
    <n v="3"/>
    <n v="25"/>
    <n v="75"/>
    <n v="1.125"/>
    <n v="1.5"/>
  </r>
  <r>
    <n v="52"/>
    <n v="5"/>
    <n v="3"/>
    <n v="2023"/>
    <s v="Sun"/>
    <s v="Mar"/>
    <d v="2023-03-05T00:00:00"/>
    <s v="CUST052"/>
    <x v="1"/>
    <x v="0"/>
    <n v="36"/>
    <x v="0"/>
    <n v="1"/>
    <n v="300"/>
    <n v="300"/>
    <n v="4.5"/>
    <n v="6"/>
  </r>
  <r>
    <n v="53"/>
    <n v="13"/>
    <n v="7"/>
    <n v="2023"/>
    <s v="Thu"/>
    <s v="Jul"/>
    <d v="2023-07-13T00:00:00"/>
    <s v="CUST053"/>
    <x v="0"/>
    <x v="0"/>
    <n v="34"/>
    <x v="2"/>
    <n v="2"/>
    <n v="50"/>
    <n v="100"/>
    <n v="1.5"/>
    <n v="2"/>
  </r>
  <r>
    <n v="54"/>
    <n v="10"/>
    <n v="2"/>
    <n v="2023"/>
    <s v="Fri"/>
    <s v="Feb"/>
    <d v="2023-02-10T00:00:00"/>
    <s v="CUST054"/>
    <x v="1"/>
    <x v="0"/>
    <n v="38"/>
    <x v="2"/>
    <n v="3"/>
    <n v="500"/>
    <n v="1500"/>
    <n v="22.5"/>
    <n v="30"/>
  </r>
  <r>
    <n v="55"/>
    <n v="10"/>
    <n v="10"/>
    <n v="2023"/>
    <s v="Tue"/>
    <s v="Oct"/>
    <d v="2023-10-10T00:00:00"/>
    <s v="CUST055"/>
    <x v="0"/>
    <x v="0"/>
    <n v="31"/>
    <x v="0"/>
    <n v="4"/>
    <n v="30"/>
    <n v="120"/>
    <n v="1.7999999999999998"/>
    <n v="2.4"/>
  </r>
  <r>
    <n v="56"/>
    <n v="31"/>
    <n v="5"/>
    <n v="2023"/>
    <s v="Wed"/>
    <s v="May"/>
    <d v="2023-05-31T00:00:00"/>
    <s v="CUST056"/>
    <x v="1"/>
    <x v="1"/>
    <n v="26"/>
    <x v="1"/>
    <n v="3"/>
    <n v="300"/>
    <n v="900"/>
    <n v="13.5"/>
    <n v="18"/>
  </r>
  <r>
    <n v="57"/>
    <n v="18"/>
    <n v="11"/>
    <n v="2023"/>
    <s v="Sat"/>
    <s v="Nov"/>
    <d v="2023-11-18T00:00:00"/>
    <s v="CUST057"/>
    <x v="1"/>
    <x v="2"/>
    <n v="63"/>
    <x v="0"/>
    <n v="1"/>
    <n v="30"/>
    <n v="30"/>
    <n v="0.44999999999999996"/>
    <n v="0.6"/>
  </r>
  <r>
    <n v="58"/>
    <n v="13"/>
    <n v="11"/>
    <n v="2023"/>
    <s v="Mon"/>
    <s v="Nov"/>
    <d v="2023-11-13T00:00:00"/>
    <s v="CUST058"/>
    <x v="0"/>
    <x v="1"/>
    <n v="18"/>
    <x v="1"/>
    <n v="4"/>
    <n v="300"/>
    <n v="1200"/>
    <n v="18"/>
    <n v="24"/>
  </r>
  <r>
    <n v="59"/>
    <n v="5"/>
    <n v="7"/>
    <n v="2023"/>
    <s v="Wed"/>
    <s v="Jul"/>
    <d v="2023-07-05T00:00:00"/>
    <s v="CUST059"/>
    <x v="0"/>
    <x v="2"/>
    <n v="62"/>
    <x v="1"/>
    <n v="1"/>
    <n v="50"/>
    <n v="50"/>
    <n v="0.75"/>
    <n v="1"/>
  </r>
  <r>
    <n v="60"/>
    <n v="23"/>
    <n v="10"/>
    <n v="2023"/>
    <s v="Mon"/>
    <s v="Oct"/>
    <d v="2023-10-23T00:00:00"/>
    <s v="CUST060"/>
    <x v="0"/>
    <x v="0"/>
    <n v="30"/>
    <x v="0"/>
    <n v="3"/>
    <n v="50"/>
    <n v="150"/>
    <n v="2.25"/>
    <n v="3"/>
  </r>
  <r>
    <n v="61"/>
    <n v="9"/>
    <n v="4"/>
    <n v="2023"/>
    <s v="Sun"/>
    <s v="Apr"/>
    <d v="2023-04-09T00:00:00"/>
    <s v="CUST061"/>
    <x v="0"/>
    <x v="1"/>
    <n v="21"/>
    <x v="0"/>
    <n v="4"/>
    <n v="50"/>
    <n v="200"/>
    <n v="3"/>
    <n v="4"/>
  </r>
  <r>
    <n v="62"/>
    <n v="27"/>
    <n v="12"/>
    <n v="2023"/>
    <s v="Wed"/>
    <s v="Dec"/>
    <d v="2023-12-27T00:00:00"/>
    <s v="CUST062"/>
    <x v="0"/>
    <x v="1"/>
    <n v="18"/>
    <x v="0"/>
    <n v="2"/>
    <n v="50"/>
    <n v="100"/>
    <n v="1.5"/>
    <n v="2"/>
  </r>
  <r>
    <n v="63"/>
    <n v="5"/>
    <n v="2"/>
    <n v="2023"/>
    <s v="Sun"/>
    <s v="Feb"/>
    <d v="2023-02-05T00:00:00"/>
    <s v="CUST063"/>
    <x v="0"/>
    <x v="2"/>
    <n v="57"/>
    <x v="2"/>
    <n v="2"/>
    <n v="25"/>
    <n v="50"/>
    <n v="0.75"/>
    <n v="1"/>
  </r>
  <r>
    <n v="64"/>
    <n v="24"/>
    <n v="1"/>
    <n v="2023"/>
    <s v="Tue"/>
    <s v="Jan"/>
    <d v="2023-01-24T00:00:00"/>
    <s v="CUST064"/>
    <x v="0"/>
    <x v="0"/>
    <n v="49"/>
    <x v="1"/>
    <n v="4"/>
    <n v="25"/>
    <n v="100"/>
    <n v="1.5"/>
    <n v="2"/>
  </r>
  <r>
    <n v="65"/>
    <n v="5"/>
    <n v="12"/>
    <n v="2023"/>
    <s v="Tue"/>
    <s v="Dec"/>
    <d v="2023-12-05T00:00:00"/>
    <s v="CUST065"/>
    <x v="0"/>
    <x v="2"/>
    <n v="51"/>
    <x v="2"/>
    <n v="4"/>
    <n v="500"/>
    <n v="2000"/>
    <n v="30"/>
    <n v="40"/>
  </r>
  <r>
    <n v="66"/>
    <n v="27"/>
    <n v="4"/>
    <n v="2023"/>
    <s v="Thu"/>
    <s v="Apr"/>
    <d v="2023-04-27T00:00:00"/>
    <s v="CUST066"/>
    <x v="1"/>
    <x v="0"/>
    <n v="45"/>
    <x v="2"/>
    <n v="1"/>
    <n v="30"/>
    <n v="30"/>
    <n v="0.44999999999999996"/>
    <n v="0.6"/>
  </r>
  <r>
    <n v="67"/>
    <n v="29"/>
    <n v="5"/>
    <n v="2023"/>
    <s v="Mon"/>
    <s v="May"/>
    <d v="2023-05-29T00:00:00"/>
    <s v="CUST067"/>
    <x v="1"/>
    <x v="0"/>
    <n v="48"/>
    <x v="0"/>
    <n v="4"/>
    <n v="300"/>
    <n v="1200"/>
    <n v="18"/>
    <n v="24"/>
  </r>
  <r>
    <n v="68"/>
    <n v="10"/>
    <n v="2"/>
    <n v="2023"/>
    <s v="Fri"/>
    <s v="Feb"/>
    <d v="2023-02-10T00:00:00"/>
    <s v="CUST068"/>
    <x v="0"/>
    <x v="1"/>
    <n v="25"/>
    <x v="2"/>
    <n v="1"/>
    <n v="300"/>
    <n v="300"/>
    <n v="4.5"/>
    <n v="6"/>
  </r>
  <r>
    <n v="69"/>
    <n v="30"/>
    <n v="4"/>
    <n v="2023"/>
    <s v="Sun"/>
    <s v="Apr"/>
    <d v="2023-04-30T00:00:00"/>
    <s v="CUST069"/>
    <x v="1"/>
    <x v="2"/>
    <n v="56"/>
    <x v="0"/>
    <n v="3"/>
    <n v="25"/>
    <n v="75"/>
    <n v="1.125"/>
    <n v="1.5"/>
  </r>
  <r>
    <n v="70"/>
    <n v="21"/>
    <n v="2"/>
    <n v="2023"/>
    <s v="Tue"/>
    <s v="Feb"/>
    <d v="2023-02-21T00:00:00"/>
    <s v="CUST070"/>
    <x v="1"/>
    <x v="0"/>
    <n v="43"/>
    <x v="1"/>
    <n v="1"/>
    <n v="300"/>
    <n v="300"/>
    <n v="4.5"/>
    <n v="6"/>
  </r>
  <r>
    <n v="71"/>
    <n v="14"/>
    <n v="7"/>
    <n v="2023"/>
    <s v="Fri"/>
    <s v="Jul"/>
    <d v="2023-07-14T00:00:00"/>
    <s v="CUST071"/>
    <x v="1"/>
    <x v="2"/>
    <n v="51"/>
    <x v="0"/>
    <n v="4"/>
    <n v="25"/>
    <n v="100"/>
    <n v="1.5"/>
    <n v="2"/>
  </r>
  <r>
    <n v="72"/>
    <n v="23"/>
    <n v="5"/>
    <n v="2023"/>
    <s v="Tue"/>
    <s v="May"/>
    <d v="2023-05-23T00:00:00"/>
    <s v="CUST072"/>
    <x v="1"/>
    <x v="1"/>
    <n v="20"/>
    <x v="2"/>
    <n v="4"/>
    <n v="500"/>
    <n v="2000"/>
    <n v="30"/>
    <n v="40"/>
  </r>
  <r>
    <n v="73"/>
    <n v="21"/>
    <n v="8"/>
    <n v="2023"/>
    <s v="Mon"/>
    <s v="Aug"/>
    <d v="2023-08-21T00:00:00"/>
    <s v="CUST073"/>
    <x v="0"/>
    <x v="1"/>
    <n v="29"/>
    <x v="2"/>
    <n v="3"/>
    <n v="30"/>
    <n v="90"/>
    <n v="1.3499999999999999"/>
    <n v="1.8"/>
  </r>
  <r>
    <n v="74"/>
    <n v="22"/>
    <n v="11"/>
    <n v="2023"/>
    <s v="Wed"/>
    <s v="Nov"/>
    <d v="2023-11-22T00:00:00"/>
    <s v="CUST074"/>
    <x v="1"/>
    <x v="1"/>
    <n v="18"/>
    <x v="0"/>
    <n v="4"/>
    <n v="500"/>
    <n v="2000"/>
    <n v="30"/>
    <n v="40"/>
  </r>
  <r>
    <n v="75"/>
    <n v="6"/>
    <n v="7"/>
    <n v="2023"/>
    <s v="Thu"/>
    <s v="Jul"/>
    <d v="2023-07-06T00:00:00"/>
    <s v="CUST075"/>
    <x v="0"/>
    <x v="2"/>
    <n v="61"/>
    <x v="0"/>
    <n v="4"/>
    <n v="50"/>
    <n v="200"/>
    <n v="3"/>
    <n v="4"/>
  </r>
  <r>
    <n v="76"/>
    <n v="25"/>
    <n v="3"/>
    <n v="2023"/>
    <s v="Sat"/>
    <s v="Mar"/>
    <d v="2023-03-25T00:00:00"/>
    <s v="CUST076"/>
    <x v="1"/>
    <x v="1"/>
    <n v="22"/>
    <x v="2"/>
    <n v="2"/>
    <n v="50"/>
    <n v="100"/>
    <n v="1.5"/>
    <n v="2"/>
  </r>
  <r>
    <n v="77"/>
    <n v="9"/>
    <n v="7"/>
    <n v="2023"/>
    <s v="Sun"/>
    <s v="Jul"/>
    <d v="2023-07-09T00:00:00"/>
    <s v="CUST077"/>
    <x v="1"/>
    <x v="0"/>
    <n v="47"/>
    <x v="1"/>
    <n v="2"/>
    <n v="50"/>
    <n v="100"/>
    <n v="1.5"/>
    <n v="2"/>
  </r>
  <r>
    <n v="78"/>
    <n v="1"/>
    <n v="7"/>
    <n v="2023"/>
    <s v="Sat"/>
    <s v="Jul"/>
    <d v="2023-07-01T00:00:00"/>
    <s v="CUST078"/>
    <x v="1"/>
    <x v="0"/>
    <n v="47"/>
    <x v="1"/>
    <n v="3"/>
    <n v="500"/>
    <n v="1500"/>
    <n v="22.5"/>
    <n v="30"/>
  </r>
  <r>
    <n v="79"/>
    <n v="18"/>
    <n v="4"/>
    <n v="2023"/>
    <s v="Tue"/>
    <s v="Apr"/>
    <d v="2023-04-18T00:00:00"/>
    <s v="CUST079"/>
    <x v="0"/>
    <x v="0"/>
    <n v="34"/>
    <x v="0"/>
    <n v="1"/>
    <n v="300"/>
    <n v="300"/>
    <n v="4.5"/>
    <n v="6"/>
  </r>
  <r>
    <n v="80"/>
    <n v="10"/>
    <n v="12"/>
    <n v="2023"/>
    <s v="Sun"/>
    <s v="Dec"/>
    <d v="2023-12-10T00:00:00"/>
    <s v="CUST080"/>
    <x v="1"/>
    <x v="2"/>
    <n v="64"/>
    <x v="1"/>
    <n v="2"/>
    <n v="30"/>
    <n v="60"/>
    <n v="0.89999999999999991"/>
    <n v="1.2"/>
  </r>
  <r>
    <n v="81"/>
    <n v="17"/>
    <n v="5"/>
    <n v="2023"/>
    <s v="Wed"/>
    <s v="May"/>
    <d v="2023-05-17T00:00:00"/>
    <s v="CUST081"/>
    <x v="0"/>
    <x v="0"/>
    <n v="40"/>
    <x v="2"/>
    <n v="1"/>
    <n v="50"/>
    <n v="50"/>
    <n v="0.75"/>
    <n v="1"/>
  </r>
  <r>
    <n v="82"/>
    <n v="26"/>
    <n v="12"/>
    <n v="2023"/>
    <s v="Tue"/>
    <s v="Dec"/>
    <d v="2023-12-26T00:00:00"/>
    <s v="CUST082"/>
    <x v="1"/>
    <x v="0"/>
    <n v="32"/>
    <x v="0"/>
    <n v="4"/>
    <n v="50"/>
    <n v="200"/>
    <n v="3"/>
    <n v="4"/>
  </r>
  <r>
    <n v="83"/>
    <n v="16"/>
    <n v="12"/>
    <n v="2023"/>
    <s v="Sat"/>
    <s v="Dec"/>
    <d v="2023-12-16T00:00:00"/>
    <s v="CUST083"/>
    <x v="0"/>
    <x v="2"/>
    <n v="54"/>
    <x v="2"/>
    <n v="2"/>
    <n v="50"/>
    <n v="100"/>
    <n v="1.5"/>
    <n v="2"/>
  </r>
  <r>
    <n v="84"/>
    <n v="28"/>
    <n v="11"/>
    <n v="2023"/>
    <s v="Tue"/>
    <s v="Nov"/>
    <d v="2023-11-28T00:00:00"/>
    <s v="CUST084"/>
    <x v="1"/>
    <x v="0"/>
    <n v="38"/>
    <x v="2"/>
    <n v="3"/>
    <n v="30"/>
    <n v="90"/>
    <n v="1.3499999999999999"/>
    <n v="1.8"/>
  </r>
  <r>
    <n v="85"/>
    <n v="6"/>
    <n v="2"/>
    <n v="2023"/>
    <s v="Mon"/>
    <s v="Feb"/>
    <d v="2023-02-06T00:00:00"/>
    <s v="CUST085"/>
    <x v="0"/>
    <x v="0"/>
    <n v="31"/>
    <x v="1"/>
    <n v="3"/>
    <n v="50"/>
    <n v="150"/>
    <n v="2.25"/>
    <n v="3"/>
  </r>
  <r>
    <n v="86"/>
    <n v="8"/>
    <n v="11"/>
    <n v="2023"/>
    <s v="Wed"/>
    <s v="Nov"/>
    <d v="2023-11-08T00:00:00"/>
    <s v="CUST086"/>
    <x v="0"/>
    <x v="1"/>
    <n v="19"/>
    <x v="0"/>
    <n v="3"/>
    <n v="30"/>
    <n v="90"/>
    <n v="1.3499999999999999"/>
    <n v="1.8"/>
  </r>
  <r>
    <n v="87"/>
    <n v="22"/>
    <n v="11"/>
    <n v="2023"/>
    <s v="Wed"/>
    <s v="Nov"/>
    <d v="2023-11-22T00:00:00"/>
    <s v="CUST087"/>
    <x v="1"/>
    <x v="1"/>
    <n v="28"/>
    <x v="0"/>
    <n v="2"/>
    <n v="50"/>
    <n v="100"/>
    <n v="1.5"/>
    <n v="2"/>
  </r>
  <r>
    <n v="88"/>
    <n v="29"/>
    <n v="3"/>
    <n v="2023"/>
    <s v="Wed"/>
    <s v="Mar"/>
    <d v="2023-03-29T00:00:00"/>
    <s v="CUST088"/>
    <x v="0"/>
    <x v="2"/>
    <n v="56"/>
    <x v="1"/>
    <n v="1"/>
    <n v="500"/>
    <n v="500"/>
    <n v="7.5"/>
    <n v="10"/>
  </r>
  <r>
    <n v="89"/>
    <n v="1"/>
    <n v="10"/>
    <n v="2023"/>
    <s v="Sun"/>
    <s v="Oct"/>
    <d v="2023-10-01T00:00:00"/>
    <s v="CUST089"/>
    <x v="1"/>
    <x v="2"/>
    <n v="55"/>
    <x v="2"/>
    <n v="4"/>
    <n v="500"/>
    <n v="2000"/>
    <n v="30"/>
    <n v="40"/>
  </r>
  <r>
    <n v="90"/>
    <n v="6"/>
    <n v="5"/>
    <n v="2023"/>
    <s v="Sat"/>
    <s v="May"/>
    <d v="2023-05-06T00:00:00"/>
    <s v="CUST090"/>
    <x v="1"/>
    <x v="2"/>
    <n v="51"/>
    <x v="2"/>
    <n v="1"/>
    <n v="30"/>
    <n v="30"/>
    <n v="0.44999999999999996"/>
    <n v="0.6"/>
  </r>
  <r>
    <n v="91"/>
    <n v="25"/>
    <n v="3"/>
    <n v="2023"/>
    <s v="Sat"/>
    <s v="Mar"/>
    <d v="2023-03-25T00:00:00"/>
    <s v="CUST091"/>
    <x v="1"/>
    <x v="2"/>
    <n v="55"/>
    <x v="2"/>
    <n v="1"/>
    <n v="500"/>
    <n v="500"/>
    <n v="7.5"/>
    <n v="10"/>
  </r>
  <r>
    <n v="92"/>
    <n v="25"/>
    <n v="8"/>
    <n v="2023"/>
    <s v="Fri"/>
    <s v="Aug"/>
    <d v="2023-08-25T00:00:00"/>
    <s v="CUST092"/>
    <x v="1"/>
    <x v="2"/>
    <n v="51"/>
    <x v="2"/>
    <n v="4"/>
    <n v="30"/>
    <n v="120"/>
    <n v="1.7999999999999998"/>
    <n v="2.4"/>
  </r>
  <r>
    <n v="93"/>
    <n v="14"/>
    <n v="7"/>
    <n v="2023"/>
    <s v="Fri"/>
    <s v="Jul"/>
    <d v="2023-07-14T00:00:00"/>
    <s v="CUST093"/>
    <x v="1"/>
    <x v="0"/>
    <n v="35"/>
    <x v="0"/>
    <n v="4"/>
    <n v="500"/>
    <n v="2000"/>
    <n v="30"/>
    <n v="40"/>
  </r>
  <r>
    <n v="94"/>
    <n v="19"/>
    <n v="5"/>
    <n v="2023"/>
    <s v="Fri"/>
    <s v="May"/>
    <d v="2023-05-19T00:00:00"/>
    <s v="CUST094"/>
    <x v="1"/>
    <x v="0"/>
    <n v="47"/>
    <x v="0"/>
    <n v="2"/>
    <n v="500"/>
    <n v="1000"/>
    <n v="15"/>
    <n v="20"/>
  </r>
  <r>
    <n v="95"/>
    <n v="24"/>
    <n v="11"/>
    <n v="2023"/>
    <s v="Fri"/>
    <s v="Nov"/>
    <d v="2023-11-24T00:00:00"/>
    <s v="CUST095"/>
    <x v="1"/>
    <x v="0"/>
    <n v="32"/>
    <x v="1"/>
    <n v="2"/>
    <n v="30"/>
    <n v="60"/>
    <n v="0.89999999999999991"/>
    <n v="1.2"/>
  </r>
  <r>
    <n v="96"/>
    <n v="19"/>
    <n v="12"/>
    <n v="2023"/>
    <s v="Tue"/>
    <s v="Dec"/>
    <d v="2023-12-19T00:00:00"/>
    <s v="CUST096"/>
    <x v="1"/>
    <x v="0"/>
    <n v="44"/>
    <x v="1"/>
    <n v="2"/>
    <n v="300"/>
    <n v="600"/>
    <n v="9"/>
    <n v="12"/>
  </r>
  <r>
    <n v="97"/>
    <n v="13"/>
    <n v="10"/>
    <n v="2023"/>
    <s v="Fri"/>
    <s v="Oct"/>
    <d v="2023-10-13T00:00:00"/>
    <s v="CUST097"/>
    <x v="1"/>
    <x v="2"/>
    <n v="51"/>
    <x v="0"/>
    <n v="2"/>
    <n v="500"/>
    <n v="1000"/>
    <n v="15"/>
    <n v="20"/>
  </r>
  <r>
    <n v="98"/>
    <n v="23"/>
    <n v="4"/>
    <n v="2023"/>
    <s v="Sun"/>
    <s v="Apr"/>
    <d v="2023-04-23T00:00:00"/>
    <s v="CUST098"/>
    <x v="1"/>
    <x v="2"/>
    <n v="55"/>
    <x v="0"/>
    <n v="2"/>
    <n v="50"/>
    <n v="100"/>
    <n v="1.5"/>
    <n v="2"/>
  </r>
  <r>
    <n v="99"/>
    <n v="17"/>
    <n v="12"/>
    <n v="2023"/>
    <s v="Sun"/>
    <s v="Dec"/>
    <d v="2023-12-17T00:00:00"/>
    <s v="CUST099"/>
    <x v="1"/>
    <x v="2"/>
    <n v="50"/>
    <x v="2"/>
    <n v="4"/>
    <n v="300"/>
    <n v="1200"/>
    <n v="18"/>
    <n v="24"/>
  </r>
  <r>
    <n v="100"/>
    <n v="16"/>
    <n v="6"/>
    <n v="2023"/>
    <s v="Fri"/>
    <s v="Jun"/>
    <d v="2023-06-16T00:00:00"/>
    <s v="CUST100"/>
    <x v="0"/>
    <x v="0"/>
    <n v="41"/>
    <x v="2"/>
    <n v="1"/>
    <n v="30"/>
    <n v="30"/>
    <n v="0.44999999999999996"/>
    <n v="0.6"/>
  </r>
  <r>
    <n v="101"/>
    <n v="29"/>
    <n v="1"/>
    <n v="2023"/>
    <s v="Sun"/>
    <s v="Jan"/>
    <d v="2023-01-29T00:00:00"/>
    <s v="CUST101"/>
    <x v="0"/>
    <x v="0"/>
    <n v="32"/>
    <x v="1"/>
    <n v="2"/>
    <n v="300"/>
    <n v="600"/>
    <n v="9"/>
    <n v="12"/>
  </r>
  <r>
    <n v="102"/>
    <n v="28"/>
    <n v="4"/>
    <n v="2023"/>
    <s v="Fri"/>
    <s v="Apr"/>
    <d v="2023-04-28T00:00:00"/>
    <s v="CUST102"/>
    <x v="1"/>
    <x v="0"/>
    <n v="47"/>
    <x v="0"/>
    <n v="2"/>
    <n v="25"/>
    <n v="50"/>
    <n v="0.75"/>
    <n v="1"/>
  </r>
  <r>
    <n v="103"/>
    <n v="17"/>
    <n v="1"/>
    <n v="2023"/>
    <s v="Tue"/>
    <s v="Jan"/>
    <d v="2023-01-17T00:00:00"/>
    <s v="CUST103"/>
    <x v="1"/>
    <x v="2"/>
    <n v="59"/>
    <x v="1"/>
    <n v="1"/>
    <n v="25"/>
    <n v="25"/>
    <n v="0.375"/>
    <n v="0.5"/>
  </r>
  <r>
    <n v="104"/>
    <n v="11"/>
    <n v="6"/>
    <n v="2023"/>
    <s v="Sun"/>
    <s v="Jun"/>
    <d v="2023-06-11T00:00:00"/>
    <s v="CUST104"/>
    <x v="1"/>
    <x v="0"/>
    <n v="34"/>
    <x v="0"/>
    <n v="2"/>
    <n v="500"/>
    <n v="1000"/>
    <n v="15"/>
    <n v="20"/>
  </r>
  <r>
    <n v="105"/>
    <n v="25"/>
    <n v="7"/>
    <n v="2023"/>
    <s v="Tue"/>
    <s v="Jul"/>
    <d v="2023-07-25T00:00:00"/>
    <s v="CUST105"/>
    <x v="1"/>
    <x v="1"/>
    <n v="22"/>
    <x v="2"/>
    <n v="1"/>
    <n v="500"/>
    <n v="500"/>
    <n v="7.5"/>
    <n v="10"/>
  </r>
  <r>
    <n v="106"/>
    <n v="18"/>
    <n v="5"/>
    <n v="2023"/>
    <s v="Thu"/>
    <s v="May"/>
    <d v="2023-05-18T00:00:00"/>
    <s v="CUST106"/>
    <x v="1"/>
    <x v="0"/>
    <n v="46"/>
    <x v="1"/>
    <n v="1"/>
    <n v="50"/>
    <n v="50"/>
    <n v="0.75"/>
    <n v="1"/>
  </r>
  <r>
    <n v="107"/>
    <n v="3"/>
    <n v="2"/>
    <n v="2023"/>
    <s v="Fri"/>
    <s v="Feb"/>
    <d v="2023-02-03T00:00:00"/>
    <s v="CUST107"/>
    <x v="1"/>
    <x v="1"/>
    <n v="21"/>
    <x v="1"/>
    <n v="4"/>
    <n v="300"/>
    <n v="1200"/>
    <n v="18"/>
    <n v="24"/>
  </r>
  <r>
    <n v="108"/>
    <n v="19"/>
    <n v="4"/>
    <n v="2023"/>
    <s v="Wed"/>
    <s v="Apr"/>
    <d v="2023-04-19T00:00:00"/>
    <s v="CUST108"/>
    <x v="1"/>
    <x v="1"/>
    <n v="27"/>
    <x v="0"/>
    <n v="3"/>
    <n v="25"/>
    <n v="75"/>
    <n v="1.125"/>
    <n v="1.5"/>
  </r>
  <r>
    <n v="109"/>
    <n v="18"/>
    <n v="10"/>
    <n v="2023"/>
    <s v="Wed"/>
    <s v="Oct"/>
    <d v="2023-10-18T00:00:00"/>
    <s v="CUST109"/>
    <x v="1"/>
    <x v="0"/>
    <n v="34"/>
    <x v="2"/>
    <n v="4"/>
    <n v="500"/>
    <n v="2000"/>
    <n v="30"/>
    <n v="40"/>
  </r>
  <r>
    <n v="110"/>
    <n v="11"/>
    <n v="6"/>
    <n v="2023"/>
    <s v="Sun"/>
    <s v="Jun"/>
    <d v="2023-06-11T00:00:00"/>
    <s v="CUST110"/>
    <x v="0"/>
    <x v="1"/>
    <n v="27"/>
    <x v="1"/>
    <n v="3"/>
    <n v="300"/>
    <n v="900"/>
    <n v="13.5"/>
    <n v="18"/>
  </r>
  <r>
    <n v="111"/>
    <n v="19"/>
    <n v="4"/>
    <n v="2023"/>
    <s v="Wed"/>
    <s v="Apr"/>
    <d v="2023-04-19T00:00:00"/>
    <s v="CUST111"/>
    <x v="1"/>
    <x v="0"/>
    <n v="34"/>
    <x v="2"/>
    <n v="3"/>
    <n v="500"/>
    <n v="1500"/>
    <n v="22.5"/>
    <n v="30"/>
  </r>
  <r>
    <n v="112"/>
    <n v="2"/>
    <n v="12"/>
    <n v="2023"/>
    <s v="Sat"/>
    <s v="Dec"/>
    <d v="2023-12-02T00:00:00"/>
    <s v="CUST112"/>
    <x v="0"/>
    <x v="0"/>
    <n v="37"/>
    <x v="1"/>
    <n v="3"/>
    <n v="500"/>
    <n v="1500"/>
    <n v="22.5"/>
    <n v="30"/>
  </r>
  <r>
    <n v="113"/>
    <n v="13"/>
    <n v="9"/>
    <n v="2023"/>
    <s v="Wed"/>
    <s v="Sep"/>
    <d v="2023-09-13T00:00:00"/>
    <s v="CUST113"/>
    <x v="1"/>
    <x v="0"/>
    <n v="41"/>
    <x v="2"/>
    <n v="2"/>
    <n v="25"/>
    <n v="50"/>
    <n v="0.75"/>
    <n v="1"/>
  </r>
  <r>
    <n v="114"/>
    <n v="22"/>
    <n v="7"/>
    <n v="2023"/>
    <s v="Sat"/>
    <s v="Jul"/>
    <d v="2023-07-22T00:00:00"/>
    <s v="CUST114"/>
    <x v="1"/>
    <x v="1"/>
    <n v="22"/>
    <x v="0"/>
    <n v="4"/>
    <n v="25"/>
    <n v="100"/>
    <n v="1.5"/>
    <n v="2"/>
  </r>
  <r>
    <n v="115"/>
    <n v="26"/>
    <n v="11"/>
    <n v="2023"/>
    <s v="Sun"/>
    <s v="Nov"/>
    <d v="2023-11-26T00:00:00"/>
    <s v="CUST115"/>
    <x v="0"/>
    <x v="2"/>
    <n v="51"/>
    <x v="1"/>
    <n v="3"/>
    <n v="500"/>
    <n v="1500"/>
    <n v="22.5"/>
    <n v="30"/>
  </r>
  <r>
    <n v="116"/>
    <n v="23"/>
    <n v="8"/>
    <n v="2023"/>
    <s v="Wed"/>
    <s v="Aug"/>
    <d v="2023-08-23T00:00:00"/>
    <s v="CUST116"/>
    <x v="1"/>
    <x v="1"/>
    <n v="23"/>
    <x v="1"/>
    <n v="1"/>
    <n v="30"/>
    <n v="30"/>
    <n v="0.44999999999999996"/>
    <n v="0.6"/>
  </r>
  <r>
    <n v="117"/>
    <n v="15"/>
    <n v="3"/>
    <n v="2023"/>
    <s v="Wed"/>
    <s v="Mar"/>
    <d v="2023-03-15T00:00:00"/>
    <s v="CUST117"/>
    <x v="0"/>
    <x v="1"/>
    <n v="19"/>
    <x v="2"/>
    <n v="2"/>
    <n v="500"/>
    <n v="1000"/>
    <n v="15"/>
    <n v="20"/>
  </r>
  <r>
    <n v="118"/>
    <n v="16"/>
    <n v="5"/>
    <n v="2023"/>
    <s v="Tue"/>
    <s v="May"/>
    <d v="2023-05-16T00:00:00"/>
    <s v="CUST118"/>
    <x v="1"/>
    <x v="0"/>
    <n v="30"/>
    <x v="2"/>
    <n v="4"/>
    <n v="500"/>
    <n v="2000"/>
    <n v="30"/>
    <n v="40"/>
  </r>
  <r>
    <n v="119"/>
    <n v="13"/>
    <n v="3"/>
    <n v="2023"/>
    <s v="Mon"/>
    <s v="Mar"/>
    <d v="2023-03-13T00:00:00"/>
    <s v="CUST119"/>
    <x v="1"/>
    <x v="2"/>
    <n v="60"/>
    <x v="1"/>
    <n v="3"/>
    <n v="50"/>
    <n v="150"/>
    <n v="2.25"/>
    <n v="3"/>
  </r>
  <r>
    <n v="120"/>
    <n v="7"/>
    <n v="5"/>
    <n v="2023"/>
    <s v="Sun"/>
    <s v="May"/>
    <d v="2023-05-07T00:00:00"/>
    <s v="CUST120"/>
    <x v="0"/>
    <x v="2"/>
    <n v="60"/>
    <x v="0"/>
    <n v="1"/>
    <n v="50"/>
    <n v="50"/>
    <n v="0.75"/>
    <n v="1"/>
  </r>
  <r>
    <n v="121"/>
    <n v="15"/>
    <n v="10"/>
    <n v="2023"/>
    <s v="Sun"/>
    <s v="Oct"/>
    <d v="2023-10-15T00:00:00"/>
    <s v="CUST121"/>
    <x v="1"/>
    <x v="1"/>
    <n v="28"/>
    <x v="2"/>
    <n v="4"/>
    <n v="50"/>
    <n v="200"/>
    <n v="3"/>
    <n v="4"/>
  </r>
  <r>
    <n v="122"/>
    <n v="3"/>
    <n v="10"/>
    <n v="2023"/>
    <s v="Tue"/>
    <s v="Oct"/>
    <d v="2023-10-03T00:00:00"/>
    <s v="CUST122"/>
    <x v="0"/>
    <x v="2"/>
    <n v="64"/>
    <x v="2"/>
    <n v="4"/>
    <n v="30"/>
    <n v="120"/>
    <n v="1.7999999999999998"/>
    <n v="2.4"/>
  </r>
  <r>
    <n v="123"/>
    <n v="15"/>
    <n v="5"/>
    <n v="2023"/>
    <s v="Mon"/>
    <s v="May"/>
    <d v="2023-05-15T00:00:00"/>
    <s v="CUST123"/>
    <x v="1"/>
    <x v="0"/>
    <n v="40"/>
    <x v="2"/>
    <n v="2"/>
    <n v="30"/>
    <n v="60"/>
    <n v="0.89999999999999991"/>
    <n v="1.2"/>
  </r>
  <r>
    <n v="124"/>
    <n v="27"/>
    <n v="10"/>
    <n v="2023"/>
    <s v="Fri"/>
    <s v="Oct"/>
    <d v="2023-10-27T00:00:00"/>
    <s v="CUST124"/>
    <x v="0"/>
    <x v="0"/>
    <n v="33"/>
    <x v="1"/>
    <n v="4"/>
    <n v="500"/>
    <n v="2000"/>
    <n v="30"/>
    <n v="40"/>
  </r>
  <r>
    <n v="125"/>
    <n v="8"/>
    <n v="8"/>
    <n v="2023"/>
    <s v="Tue"/>
    <s v="Aug"/>
    <d v="2023-08-08T00:00:00"/>
    <s v="CUST125"/>
    <x v="0"/>
    <x v="0"/>
    <n v="48"/>
    <x v="1"/>
    <n v="2"/>
    <n v="50"/>
    <n v="100"/>
    <n v="1.5"/>
    <n v="2"/>
  </r>
  <r>
    <n v="126"/>
    <n v="26"/>
    <n v="10"/>
    <n v="2023"/>
    <s v="Thu"/>
    <s v="Oct"/>
    <d v="2023-10-26T00:00:00"/>
    <s v="CUST126"/>
    <x v="1"/>
    <x v="1"/>
    <n v="28"/>
    <x v="1"/>
    <n v="3"/>
    <n v="30"/>
    <n v="90"/>
    <n v="1.3499999999999999"/>
    <n v="1.8"/>
  </r>
  <r>
    <n v="127"/>
    <n v="24"/>
    <n v="7"/>
    <n v="2023"/>
    <s v="Mon"/>
    <s v="Jul"/>
    <d v="2023-07-24T00:00:00"/>
    <s v="CUST127"/>
    <x v="1"/>
    <x v="0"/>
    <n v="33"/>
    <x v="1"/>
    <n v="2"/>
    <n v="25"/>
    <n v="50"/>
    <n v="0.75"/>
    <n v="1"/>
  </r>
  <r>
    <n v="128"/>
    <n v="5"/>
    <n v="7"/>
    <n v="2023"/>
    <s v="Wed"/>
    <s v="Jul"/>
    <d v="2023-07-05T00:00:00"/>
    <s v="CUST128"/>
    <x v="0"/>
    <x v="1"/>
    <n v="25"/>
    <x v="0"/>
    <n v="1"/>
    <n v="500"/>
    <n v="500"/>
    <n v="7.5"/>
    <n v="10"/>
  </r>
  <r>
    <n v="129"/>
    <n v="23"/>
    <n v="4"/>
    <n v="2023"/>
    <s v="Sun"/>
    <s v="Apr"/>
    <d v="2023-04-23T00:00:00"/>
    <s v="CUST129"/>
    <x v="1"/>
    <x v="1"/>
    <n v="21"/>
    <x v="0"/>
    <n v="2"/>
    <n v="300"/>
    <n v="600"/>
    <n v="9"/>
    <n v="12"/>
  </r>
  <r>
    <n v="130"/>
    <n v="12"/>
    <n v="3"/>
    <n v="2023"/>
    <s v="Sun"/>
    <s v="Mar"/>
    <d v="2023-03-12T00:00:00"/>
    <s v="CUST130"/>
    <x v="1"/>
    <x v="2"/>
    <n v="57"/>
    <x v="1"/>
    <n v="1"/>
    <n v="500"/>
    <n v="500"/>
    <n v="7.5"/>
    <n v="10"/>
  </r>
  <r>
    <n v="131"/>
    <n v="18"/>
    <n v="9"/>
    <n v="2023"/>
    <s v="Mon"/>
    <s v="Sep"/>
    <d v="2023-09-18T00:00:00"/>
    <s v="CUST131"/>
    <x v="1"/>
    <x v="1"/>
    <n v="21"/>
    <x v="0"/>
    <n v="2"/>
    <n v="300"/>
    <n v="600"/>
    <n v="9"/>
    <n v="12"/>
  </r>
  <r>
    <n v="132"/>
    <n v="10"/>
    <n v="9"/>
    <n v="2023"/>
    <s v="Sun"/>
    <s v="Sep"/>
    <d v="2023-09-10T00:00:00"/>
    <s v="CUST132"/>
    <x v="0"/>
    <x v="0"/>
    <n v="42"/>
    <x v="2"/>
    <n v="4"/>
    <n v="50"/>
    <n v="200"/>
    <n v="3"/>
    <n v="4"/>
  </r>
  <r>
    <n v="133"/>
    <n v="16"/>
    <n v="2"/>
    <n v="2023"/>
    <s v="Thu"/>
    <s v="Feb"/>
    <d v="2023-02-16T00:00:00"/>
    <s v="CUST133"/>
    <x v="0"/>
    <x v="1"/>
    <n v="20"/>
    <x v="2"/>
    <n v="3"/>
    <n v="300"/>
    <n v="900"/>
    <n v="13.5"/>
    <n v="18"/>
  </r>
  <r>
    <n v="134"/>
    <n v="25"/>
    <n v="1"/>
    <n v="2023"/>
    <s v="Wed"/>
    <s v="Jan"/>
    <d v="2023-01-25T00:00:00"/>
    <s v="CUST134"/>
    <x v="0"/>
    <x v="0"/>
    <n v="49"/>
    <x v="2"/>
    <n v="1"/>
    <n v="50"/>
    <n v="50"/>
    <n v="0.75"/>
    <n v="1"/>
  </r>
  <r>
    <n v="135"/>
    <n v="26"/>
    <n v="2"/>
    <n v="2023"/>
    <s v="Sun"/>
    <s v="Feb"/>
    <d v="2023-02-26T00:00:00"/>
    <s v="CUST135"/>
    <x v="0"/>
    <x v="1"/>
    <n v="20"/>
    <x v="1"/>
    <n v="2"/>
    <n v="25"/>
    <n v="50"/>
    <n v="0.75"/>
    <n v="1"/>
  </r>
  <r>
    <n v="136"/>
    <n v="20"/>
    <n v="3"/>
    <n v="2023"/>
    <s v="Mon"/>
    <s v="Mar"/>
    <d v="2023-03-20T00:00:00"/>
    <s v="CUST136"/>
    <x v="0"/>
    <x v="0"/>
    <n v="44"/>
    <x v="2"/>
    <n v="2"/>
    <n v="300"/>
    <n v="600"/>
    <n v="9"/>
    <n v="12"/>
  </r>
  <r>
    <n v="137"/>
    <n v="18"/>
    <n v="11"/>
    <n v="2023"/>
    <s v="Sat"/>
    <s v="Nov"/>
    <d v="2023-11-18T00:00:00"/>
    <s v="CUST137"/>
    <x v="0"/>
    <x v="0"/>
    <n v="46"/>
    <x v="0"/>
    <n v="2"/>
    <n v="500"/>
    <n v="1000"/>
    <n v="15"/>
    <n v="20"/>
  </r>
  <r>
    <n v="138"/>
    <n v="23"/>
    <n v="3"/>
    <n v="2023"/>
    <s v="Thu"/>
    <s v="Mar"/>
    <d v="2023-03-23T00:00:00"/>
    <s v="CUST138"/>
    <x v="0"/>
    <x v="0"/>
    <n v="49"/>
    <x v="1"/>
    <n v="4"/>
    <n v="50"/>
    <n v="200"/>
    <n v="3"/>
    <n v="4"/>
  </r>
  <r>
    <n v="139"/>
    <n v="15"/>
    <n v="12"/>
    <n v="2023"/>
    <s v="Fri"/>
    <s v="Dec"/>
    <d v="2023-12-15T00:00:00"/>
    <s v="CUST139"/>
    <x v="0"/>
    <x v="0"/>
    <n v="36"/>
    <x v="0"/>
    <n v="4"/>
    <n v="500"/>
    <n v="2000"/>
    <n v="30"/>
    <n v="40"/>
  </r>
  <r>
    <n v="140"/>
    <n v="5"/>
    <n v="8"/>
    <n v="2023"/>
    <s v="Sat"/>
    <s v="Aug"/>
    <d v="2023-08-05T00:00:00"/>
    <s v="CUST140"/>
    <x v="0"/>
    <x v="0"/>
    <n v="38"/>
    <x v="2"/>
    <n v="1"/>
    <n v="30"/>
    <n v="30"/>
    <n v="0.44999999999999996"/>
    <n v="0.6"/>
  </r>
  <r>
    <n v="141"/>
    <n v="2"/>
    <n v="11"/>
    <n v="2023"/>
    <s v="Thu"/>
    <s v="Nov"/>
    <d v="2023-11-02T00:00:00"/>
    <s v="CUST141"/>
    <x v="1"/>
    <x v="1"/>
    <n v="22"/>
    <x v="2"/>
    <n v="1"/>
    <n v="50"/>
    <n v="50"/>
    <n v="0.75"/>
    <n v="1"/>
  </r>
  <r>
    <n v="142"/>
    <n v="2"/>
    <n v="2"/>
    <n v="2023"/>
    <s v="Thu"/>
    <s v="Feb"/>
    <d v="2023-02-02T00:00:00"/>
    <s v="CUST142"/>
    <x v="0"/>
    <x v="0"/>
    <n v="35"/>
    <x v="2"/>
    <n v="4"/>
    <n v="300"/>
    <n v="1200"/>
    <n v="18"/>
    <n v="24"/>
  </r>
  <r>
    <n v="143"/>
    <n v="17"/>
    <n v="7"/>
    <n v="2023"/>
    <s v="Mon"/>
    <s v="Jul"/>
    <d v="2023-07-17T00:00:00"/>
    <s v="CUST143"/>
    <x v="1"/>
    <x v="0"/>
    <n v="45"/>
    <x v="1"/>
    <n v="1"/>
    <n v="50"/>
    <n v="50"/>
    <n v="0.75"/>
    <n v="1"/>
  </r>
  <r>
    <n v="144"/>
    <n v="15"/>
    <n v="7"/>
    <n v="2023"/>
    <s v="Sat"/>
    <s v="Jul"/>
    <d v="2023-07-15T00:00:00"/>
    <s v="CUST144"/>
    <x v="1"/>
    <x v="2"/>
    <n v="59"/>
    <x v="0"/>
    <n v="3"/>
    <n v="500"/>
    <n v="1500"/>
    <n v="22.5"/>
    <n v="30"/>
  </r>
  <r>
    <n v="145"/>
    <n v="2"/>
    <n v="11"/>
    <n v="2023"/>
    <s v="Thu"/>
    <s v="Nov"/>
    <d v="2023-11-02T00:00:00"/>
    <s v="CUST145"/>
    <x v="1"/>
    <x v="0"/>
    <n v="39"/>
    <x v="1"/>
    <n v="3"/>
    <n v="25"/>
    <n v="75"/>
    <n v="1.125"/>
    <n v="1.5"/>
  </r>
  <r>
    <n v="146"/>
    <n v="28"/>
    <n v="8"/>
    <n v="2023"/>
    <s v="Mon"/>
    <s v="Aug"/>
    <d v="2023-08-28T00:00:00"/>
    <s v="CUST146"/>
    <x v="0"/>
    <x v="0"/>
    <n v="38"/>
    <x v="1"/>
    <n v="4"/>
    <n v="50"/>
    <n v="200"/>
    <n v="3"/>
    <n v="4"/>
  </r>
  <r>
    <n v="147"/>
    <n v="28"/>
    <n v="9"/>
    <n v="2023"/>
    <s v="Thu"/>
    <s v="Sep"/>
    <d v="2023-09-28T00:00:00"/>
    <s v="CUST147"/>
    <x v="0"/>
    <x v="1"/>
    <n v="23"/>
    <x v="2"/>
    <n v="1"/>
    <n v="300"/>
    <n v="300"/>
    <n v="4.5"/>
    <n v="6"/>
  </r>
  <r>
    <n v="148"/>
    <n v="9"/>
    <n v="5"/>
    <n v="2023"/>
    <s v="Tue"/>
    <s v="May"/>
    <d v="2023-05-09T00:00:00"/>
    <s v="CUST148"/>
    <x v="0"/>
    <x v="1"/>
    <n v="18"/>
    <x v="1"/>
    <n v="2"/>
    <n v="30"/>
    <n v="60"/>
    <n v="0.89999999999999991"/>
    <n v="1.2"/>
  </r>
  <r>
    <n v="149"/>
    <n v="11"/>
    <n v="10"/>
    <n v="2023"/>
    <s v="Wed"/>
    <s v="Oct"/>
    <d v="2023-10-11T00:00:00"/>
    <s v="CUST149"/>
    <x v="0"/>
    <x v="1"/>
    <n v="22"/>
    <x v="1"/>
    <n v="3"/>
    <n v="25"/>
    <n v="75"/>
    <n v="1.125"/>
    <n v="1.5"/>
  </r>
  <r>
    <n v="150"/>
    <n v="6"/>
    <n v="1"/>
    <n v="2023"/>
    <s v="Fri"/>
    <s v="Jan"/>
    <d v="2023-01-06T00:00:00"/>
    <s v="CUST150"/>
    <x v="1"/>
    <x v="2"/>
    <n v="58"/>
    <x v="2"/>
    <n v="4"/>
    <n v="30"/>
    <n v="120"/>
    <n v="1.7999999999999998"/>
    <n v="2.4"/>
  </r>
  <r>
    <n v="151"/>
    <n v="15"/>
    <n v="12"/>
    <n v="2023"/>
    <s v="Fri"/>
    <s v="Dec"/>
    <d v="2023-12-15T00:00:00"/>
    <s v="CUST151"/>
    <x v="0"/>
    <x v="1"/>
    <n v="29"/>
    <x v="1"/>
    <n v="1"/>
    <n v="50"/>
    <n v="50"/>
    <n v="0.75"/>
    <n v="1"/>
  </r>
  <r>
    <n v="152"/>
    <n v="28"/>
    <n v="2"/>
    <n v="2023"/>
    <s v="Tue"/>
    <s v="Feb"/>
    <d v="2023-02-28T00:00:00"/>
    <s v="CUST152"/>
    <x v="0"/>
    <x v="0"/>
    <n v="43"/>
    <x v="2"/>
    <n v="4"/>
    <n v="500"/>
    <n v="2000"/>
    <n v="30"/>
    <n v="40"/>
  </r>
  <r>
    <n v="153"/>
    <n v="16"/>
    <n v="12"/>
    <n v="2023"/>
    <s v="Sat"/>
    <s v="Dec"/>
    <d v="2023-12-16T00:00:00"/>
    <s v="CUST153"/>
    <x v="0"/>
    <x v="2"/>
    <n v="63"/>
    <x v="2"/>
    <n v="2"/>
    <n v="500"/>
    <n v="1000"/>
    <n v="15"/>
    <n v="20"/>
  </r>
  <r>
    <n v="154"/>
    <n v="2"/>
    <n v="10"/>
    <n v="2023"/>
    <s v="Mon"/>
    <s v="Oct"/>
    <d v="2023-10-02T00:00:00"/>
    <s v="CUST154"/>
    <x v="0"/>
    <x v="2"/>
    <n v="51"/>
    <x v="2"/>
    <n v="3"/>
    <n v="300"/>
    <n v="900"/>
    <n v="13.5"/>
    <n v="18"/>
  </r>
  <r>
    <n v="155"/>
    <n v="17"/>
    <n v="5"/>
    <n v="2023"/>
    <s v="Wed"/>
    <s v="May"/>
    <d v="2023-05-17T00:00:00"/>
    <s v="CUST155"/>
    <x v="0"/>
    <x v="0"/>
    <n v="31"/>
    <x v="2"/>
    <n v="4"/>
    <n v="500"/>
    <n v="2000"/>
    <n v="30"/>
    <n v="40"/>
  </r>
  <r>
    <n v="156"/>
    <n v="25"/>
    <n v="11"/>
    <n v="2023"/>
    <s v="Sat"/>
    <s v="Nov"/>
    <d v="2023-11-25T00:00:00"/>
    <s v="CUST156"/>
    <x v="1"/>
    <x v="0"/>
    <n v="43"/>
    <x v="1"/>
    <n v="4"/>
    <n v="25"/>
    <n v="100"/>
    <n v="1.5"/>
    <n v="2"/>
  </r>
  <r>
    <n v="157"/>
    <n v="24"/>
    <n v="6"/>
    <n v="2023"/>
    <s v="Sat"/>
    <s v="Jun"/>
    <d v="2023-06-24T00:00:00"/>
    <s v="CUST157"/>
    <x v="0"/>
    <x v="2"/>
    <n v="62"/>
    <x v="2"/>
    <n v="4"/>
    <n v="500"/>
    <n v="2000"/>
    <n v="30"/>
    <n v="40"/>
  </r>
  <r>
    <n v="158"/>
    <n v="27"/>
    <n v="2"/>
    <n v="2023"/>
    <s v="Mon"/>
    <s v="Feb"/>
    <d v="2023-02-27T00:00:00"/>
    <s v="CUST158"/>
    <x v="1"/>
    <x v="0"/>
    <n v="44"/>
    <x v="2"/>
    <n v="2"/>
    <n v="300"/>
    <n v="600"/>
    <n v="9"/>
    <n v="12"/>
  </r>
  <r>
    <n v="159"/>
    <n v="31"/>
    <n v="5"/>
    <n v="2023"/>
    <s v="Wed"/>
    <s v="May"/>
    <d v="2023-05-31T00:00:00"/>
    <s v="CUST159"/>
    <x v="0"/>
    <x v="1"/>
    <n v="26"/>
    <x v="1"/>
    <n v="4"/>
    <n v="50"/>
    <n v="200"/>
    <n v="3"/>
    <n v="4"/>
  </r>
  <r>
    <n v="160"/>
    <n v="11"/>
    <n v="8"/>
    <n v="2023"/>
    <s v="Fri"/>
    <s v="Aug"/>
    <d v="2023-08-11T00:00:00"/>
    <s v="CUST160"/>
    <x v="1"/>
    <x v="0"/>
    <n v="43"/>
    <x v="1"/>
    <n v="2"/>
    <n v="50"/>
    <n v="100"/>
    <n v="1.5"/>
    <n v="2"/>
  </r>
  <r>
    <n v="161"/>
    <n v="22"/>
    <n v="3"/>
    <n v="2023"/>
    <s v="Wed"/>
    <s v="Mar"/>
    <d v="2023-03-22T00:00:00"/>
    <s v="CUST161"/>
    <x v="0"/>
    <x v="2"/>
    <n v="64"/>
    <x v="0"/>
    <n v="2"/>
    <n v="500"/>
    <n v="1000"/>
    <n v="15"/>
    <n v="20"/>
  </r>
  <r>
    <n v="162"/>
    <n v="21"/>
    <n v="8"/>
    <n v="2023"/>
    <s v="Mon"/>
    <s v="Aug"/>
    <d v="2023-08-21T00:00:00"/>
    <s v="CUST162"/>
    <x v="0"/>
    <x v="0"/>
    <n v="39"/>
    <x v="1"/>
    <n v="2"/>
    <n v="30"/>
    <n v="60"/>
    <n v="0.89999999999999991"/>
    <n v="1.2"/>
  </r>
  <r>
    <n v="163"/>
    <n v="2"/>
    <n v="1"/>
    <n v="2023"/>
    <s v="Mon"/>
    <s v="Jan"/>
    <d v="2023-01-02T00:00:00"/>
    <s v="CUST163"/>
    <x v="1"/>
    <x v="2"/>
    <n v="64"/>
    <x v="1"/>
    <n v="3"/>
    <n v="50"/>
    <n v="150"/>
    <n v="2.25"/>
    <n v="3"/>
  </r>
  <r>
    <n v="164"/>
    <n v="15"/>
    <n v="5"/>
    <n v="2023"/>
    <s v="Mon"/>
    <s v="May"/>
    <d v="2023-05-15T00:00:00"/>
    <s v="CUST164"/>
    <x v="1"/>
    <x v="0"/>
    <n v="47"/>
    <x v="0"/>
    <n v="3"/>
    <n v="500"/>
    <n v="1500"/>
    <n v="22.5"/>
    <n v="30"/>
  </r>
  <r>
    <n v="165"/>
    <n v="14"/>
    <n v="9"/>
    <n v="2023"/>
    <s v="Thu"/>
    <s v="Sep"/>
    <d v="2023-09-14T00:00:00"/>
    <s v="CUST165"/>
    <x v="1"/>
    <x v="2"/>
    <n v="60"/>
    <x v="1"/>
    <n v="4"/>
    <n v="300"/>
    <n v="1200"/>
    <n v="18"/>
    <n v="24"/>
  </r>
  <r>
    <n v="166"/>
    <n v="2"/>
    <n v="4"/>
    <n v="2023"/>
    <s v="Sun"/>
    <s v="Apr"/>
    <d v="2023-04-02T00:00:00"/>
    <s v="CUST166"/>
    <x v="0"/>
    <x v="0"/>
    <n v="34"/>
    <x v="1"/>
    <n v="4"/>
    <n v="500"/>
    <n v="2000"/>
    <n v="30"/>
    <n v="40"/>
  </r>
  <r>
    <n v="167"/>
    <n v="17"/>
    <n v="9"/>
    <n v="2023"/>
    <s v="Sun"/>
    <s v="Sep"/>
    <d v="2023-09-17T00:00:00"/>
    <s v="CUST167"/>
    <x v="1"/>
    <x v="0"/>
    <n v="43"/>
    <x v="1"/>
    <n v="3"/>
    <n v="50"/>
    <n v="150"/>
    <n v="2.25"/>
    <n v="3"/>
  </r>
  <r>
    <n v="168"/>
    <n v="24"/>
    <n v="2"/>
    <n v="2023"/>
    <s v="Fri"/>
    <s v="Feb"/>
    <d v="2023-02-24T00:00:00"/>
    <s v="CUST168"/>
    <x v="0"/>
    <x v="2"/>
    <n v="53"/>
    <x v="1"/>
    <n v="1"/>
    <n v="300"/>
    <n v="300"/>
    <n v="4.5"/>
    <n v="6"/>
  </r>
  <r>
    <n v="169"/>
    <n v="17"/>
    <n v="11"/>
    <n v="2023"/>
    <s v="Fri"/>
    <s v="Nov"/>
    <d v="2023-11-17T00:00:00"/>
    <s v="CUST169"/>
    <x v="0"/>
    <x v="1"/>
    <n v="18"/>
    <x v="0"/>
    <n v="3"/>
    <n v="500"/>
    <n v="1500"/>
    <n v="22.5"/>
    <n v="30"/>
  </r>
  <r>
    <n v="170"/>
    <n v="2"/>
    <n v="6"/>
    <n v="2023"/>
    <s v="Fri"/>
    <s v="Jun"/>
    <d v="2023-06-02T00:00:00"/>
    <s v="CUST170"/>
    <x v="1"/>
    <x v="1"/>
    <n v="25"/>
    <x v="1"/>
    <n v="2"/>
    <n v="25"/>
    <n v="50"/>
    <n v="0.75"/>
    <n v="1"/>
  </r>
  <r>
    <n v="171"/>
    <n v="24"/>
    <n v="11"/>
    <n v="2023"/>
    <s v="Fri"/>
    <s v="Nov"/>
    <d v="2023-11-24T00:00:00"/>
    <s v="CUST171"/>
    <x v="1"/>
    <x v="2"/>
    <n v="52"/>
    <x v="1"/>
    <n v="3"/>
    <n v="300"/>
    <n v="900"/>
    <n v="13.5"/>
    <n v="18"/>
  </r>
  <r>
    <n v="172"/>
    <n v="17"/>
    <n v="9"/>
    <n v="2023"/>
    <s v="Sun"/>
    <s v="Sep"/>
    <d v="2023-09-17T00:00:00"/>
    <s v="CUST172"/>
    <x v="0"/>
    <x v="0"/>
    <n v="32"/>
    <x v="0"/>
    <n v="2"/>
    <n v="25"/>
    <n v="50"/>
    <n v="0.75"/>
    <n v="1"/>
  </r>
  <r>
    <n v="173"/>
    <n v="8"/>
    <n v="11"/>
    <n v="2023"/>
    <s v="Wed"/>
    <s v="Nov"/>
    <d v="2023-11-08T00:00:00"/>
    <s v="CUST173"/>
    <x v="0"/>
    <x v="2"/>
    <n v="64"/>
    <x v="2"/>
    <n v="4"/>
    <n v="30"/>
    <n v="120"/>
    <n v="1.7999999999999998"/>
    <n v="2.4"/>
  </r>
  <r>
    <n v="174"/>
    <n v="12"/>
    <n v="4"/>
    <n v="2023"/>
    <s v="Wed"/>
    <s v="Apr"/>
    <d v="2023-04-12T00:00:00"/>
    <s v="CUST174"/>
    <x v="1"/>
    <x v="0"/>
    <n v="39"/>
    <x v="0"/>
    <n v="1"/>
    <n v="300"/>
    <n v="300"/>
    <n v="4.5"/>
    <n v="6"/>
  </r>
  <r>
    <n v="175"/>
    <n v="20"/>
    <n v="3"/>
    <n v="2023"/>
    <s v="Mon"/>
    <s v="Mar"/>
    <d v="2023-03-20T00:00:00"/>
    <s v="CUST175"/>
    <x v="1"/>
    <x v="0"/>
    <n v="31"/>
    <x v="2"/>
    <n v="4"/>
    <n v="25"/>
    <n v="100"/>
    <n v="1.5"/>
    <n v="2"/>
  </r>
  <r>
    <n v="176"/>
    <n v="11"/>
    <n v="7"/>
    <n v="2023"/>
    <s v="Tue"/>
    <s v="Jul"/>
    <d v="2023-07-11T00:00:00"/>
    <s v="CUST176"/>
    <x v="1"/>
    <x v="0"/>
    <n v="43"/>
    <x v="0"/>
    <n v="2"/>
    <n v="50"/>
    <n v="100"/>
    <n v="1.5"/>
    <n v="2"/>
  </r>
  <r>
    <n v="177"/>
    <n v="24"/>
    <n v="3"/>
    <n v="2023"/>
    <s v="Fri"/>
    <s v="Mar"/>
    <d v="2023-03-24T00:00:00"/>
    <s v="CUST177"/>
    <x v="0"/>
    <x v="0"/>
    <n v="45"/>
    <x v="0"/>
    <n v="2"/>
    <n v="50"/>
    <n v="100"/>
    <n v="1.5"/>
    <n v="2"/>
  </r>
  <r>
    <n v="178"/>
    <n v="4"/>
    <n v="10"/>
    <n v="2023"/>
    <s v="Wed"/>
    <s v="Oct"/>
    <d v="2023-10-04T00:00:00"/>
    <s v="CUST178"/>
    <x v="0"/>
    <x v="0"/>
    <n v="40"/>
    <x v="1"/>
    <n v="2"/>
    <n v="30"/>
    <n v="60"/>
    <n v="0.89999999999999991"/>
    <n v="1.2"/>
  </r>
  <r>
    <n v="179"/>
    <n v="29"/>
    <n v="9"/>
    <n v="2023"/>
    <s v="Fri"/>
    <s v="Sep"/>
    <d v="2023-09-29T00:00:00"/>
    <s v="CUST179"/>
    <x v="0"/>
    <x v="0"/>
    <n v="31"/>
    <x v="2"/>
    <n v="1"/>
    <n v="300"/>
    <n v="300"/>
    <n v="4.5"/>
    <n v="6"/>
  </r>
  <r>
    <n v="180"/>
    <n v="1"/>
    <n v="1"/>
    <n v="2023"/>
    <s v="Sun"/>
    <s v="Jan"/>
    <d v="2023-01-01T00:00:00"/>
    <s v="CUST180"/>
    <x v="0"/>
    <x v="0"/>
    <n v="41"/>
    <x v="1"/>
    <n v="3"/>
    <n v="300"/>
    <n v="900"/>
    <n v="13.5"/>
    <n v="18"/>
  </r>
  <r>
    <n v="181"/>
    <n v="3"/>
    <n v="11"/>
    <n v="2023"/>
    <s v="Fri"/>
    <s v="Nov"/>
    <d v="2023-11-03T00:00:00"/>
    <s v="CUST181"/>
    <x v="0"/>
    <x v="1"/>
    <n v="19"/>
    <x v="2"/>
    <n v="4"/>
    <n v="300"/>
    <n v="1200"/>
    <n v="18"/>
    <n v="24"/>
  </r>
  <r>
    <n v="182"/>
    <n v="15"/>
    <n v="6"/>
    <n v="2023"/>
    <s v="Thu"/>
    <s v="Jun"/>
    <d v="2023-06-15T00:00:00"/>
    <s v="CUST182"/>
    <x v="0"/>
    <x v="2"/>
    <n v="62"/>
    <x v="0"/>
    <n v="4"/>
    <n v="30"/>
    <n v="120"/>
    <n v="1.7999999999999998"/>
    <n v="2.4"/>
  </r>
  <r>
    <n v="183"/>
    <n v="8"/>
    <n v="9"/>
    <n v="2023"/>
    <s v="Fri"/>
    <s v="Sep"/>
    <d v="2023-09-08T00:00:00"/>
    <s v="CUST183"/>
    <x v="1"/>
    <x v="0"/>
    <n v="43"/>
    <x v="0"/>
    <n v="3"/>
    <n v="300"/>
    <n v="900"/>
    <n v="13.5"/>
    <n v="18"/>
  </r>
  <r>
    <n v="184"/>
    <n v="10"/>
    <n v="1"/>
    <n v="2023"/>
    <s v="Tue"/>
    <s v="Jan"/>
    <d v="2023-01-10T00:00:00"/>
    <s v="CUST184"/>
    <x v="0"/>
    <x v="0"/>
    <n v="31"/>
    <x v="2"/>
    <n v="4"/>
    <n v="50"/>
    <n v="200"/>
    <n v="3"/>
    <n v="4"/>
  </r>
  <r>
    <n v="185"/>
    <n v="27"/>
    <n v="2"/>
    <n v="2023"/>
    <s v="Mon"/>
    <s v="Feb"/>
    <d v="2023-02-27T00:00:00"/>
    <s v="CUST185"/>
    <x v="0"/>
    <x v="1"/>
    <n v="24"/>
    <x v="1"/>
    <n v="1"/>
    <n v="25"/>
    <n v="25"/>
    <n v="0.375"/>
    <n v="0.5"/>
  </r>
  <r>
    <n v="186"/>
    <n v="5"/>
    <n v="7"/>
    <n v="2023"/>
    <s v="Wed"/>
    <s v="Jul"/>
    <d v="2023-07-05T00:00:00"/>
    <s v="CUST186"/>
    <x v="0"/>
    <x v="1"/>
    <n v="20"/>
    <x v="1"/>
    <n v="4"/>
    <n v="50"/>
    <n v="200"/>
    <n v="3"/>
    <n v="4"/>
  </r>
  <r>
    <n v="187"/>
    <n v="7"/>
    <n v="6"/>
    <n v="2023"/>
    <s v="Wed"/>
    <s v="Jun"/>
    <d v="2023-06-07T00:00:00"/>
    <s v="CUST187"/>
    <x v="1"/>
    <x v="2"/>
    <n v="64"/>
    <x v="1"/>
    <n v="2"/>
    <n v="50"/>
    <n v="100"/>
    <n v="1.5"/>
    <n v="2"/>
  </r>
  <r>
    <n v="188"/>
    <n v="3"/>
    <n v="5"/>
    <n v="2023"/>
    <s v="Wed"/>
    <s v="May"/>
    <d v="2023-05-03T00:00:00"/>
    <s v="CUST188"/>
    <x v="0"/>
    <x v="0"/>
    <n v="40"/>
    <x v="1"/>
    <n v="3"/>
    <n v="25"/>
    <n v="75"/>
    <n v="1.125"/>
    <n v="1.5"/>
  </r>
  <r>
    <n v="189"/>
    <n v="30"/>
    <n v="1"/>
    <n v="2023"/>
    <s v="Mon"/>
    <s v="Jan"/>
    <d v="2023-01-30T00:00:00"/>
    <s v="CUST189"/>
    <x v="0"/>
    <x v="2"/>
    <n v="63"/>
    <x v="0"/>
    <n v="1"/>
    <n v="50"/>
    <n v="50"/>
    <n v="0.75"/>
    <n v="1"/>
  </r>
  <r>
    <n v="190"/>
    <n v="4"/>
    <n v="5"/>
    <n v="2023"/>
    <s v="Thu"/>
    <s v="May"/>
    <d v="2023-05-04T00:00:00"/>
    <s v="CUST190"/>
    <x v="1"/>
    <x v="2"/>
    <n v="60"/>
    <x v="0"/>
    <n v="3"/>
    <n v="30"/>
    <n v="90"/>
    <n v="1.3499999999999999"/>
    <n v="1.8"/>
  </r>
  <r>
    <n v="191"/>
    <n v="18"/>
    <n v="10"/>
    <n v="2023"/>
    <s v="Wed"/>
    <s v="Oct"/>
    <d v="2023-10-18T00:00:00"/>
    <s v="CUST191"/>
    <x v="0"/>
    <x v="2"/>
    <n v="64"/>
    <x v="0"/>
    <n v="1"/>
    <n v="25"/>
    <n v="25"/>
    <n v="0.375"/>
    <n v="0.5"/>
  </r>
  <r>
    <n v="192"/>
    <n v="10"/>
    <n v="2"/>
    <n v="2023"/>
    <s v="Fri"/>
    <s v="Feb"/>
    <d v="2023-02-10T00:00:00"/>
    <s v="CUST192"/>
    <x v="0"/>
    <x v="2"/>
    <n v="62"/>
    <x v="0"/>
    <n v="2"/>
    <n v="50"/>
    <n v="100"/>
    <n v="1.5"/>
    <n v="2"/>
  </r>
  <r>
    <n v="193"/>
    <n v="13"/>
    <n v="2"/>
    <n v="2023"/>
    <s v="Mon"/>
    <s v="Feb"/>
    <d v="2023-02-13T00:00:00"/>
    <s v="CUST193"/>
    <x v="0"/>
    <x v="0"/>
    <n v="35"/>
    <x v="0"/>
    <n v="3"/>
    <n v="500"/>
    <n v="1500"/>
    <n v="22.5"/>
    <n v="30"/>
  </r>
  <r>
    <n v="194"/>
    <n v="6"/>
    <n v="9"/>
    <n v="2023"/>
    <s v="Wed"/>
    <s v="Sep"/>
    <d v="2023-09-06T00:00:00"/>
    <s v="CUST194"/>
    <x v="0"/>
    <x v="2"/>
    <n v="55"/>
    <x v="1"/>
    <n v="4"/>
    <n v="50"/>
    <n v="200"/>
    <n v="3"/>
    <n v="4"/>
  </r>
  <r>
    <n v="195"/>
    <n v="5"/>
    <n v="2"/>
    <n v="2023"/>
    <s v="Sun"/>
    <s v="Feb"/>
    <d v="2023-02-05T00:00:00"/>
    <s v="CUST195"/>
    <x v="0"/>
    <x v="2"/>
    <n v="52"/>
    <x v="1"/>
    <n v="1"/>
    <n v="30"/>
    <n v="30"/>
    <n v="0.44999999999999996"/>
    <n v="0.6"/>
  </r>
  <r>
    <n v="196"/>
    <n v="30"/>
    <n v="9"/>
    <n v="2023"/>
    <s v="Sat"/>
    <s v="Sep"/>
    <d v="2023-09-30T00:00:00"/>
    <s v="CUST196"/>
    <x v="1"/>
    <x v="0"/>
    <n v="32"/>
    <x v="1"/>
    <n v="3"/>
    <n v="300"/>
    <n v="900"/>
    <n v="13.5"/>
    <n v="18"/>
  </r>
  <r>
    <n v="197"/>
    <n v="6"/>
    <n v="3"/>
    <n v="2023"/>
    <s v="Mon"/>
    <s v="Mar"/>
    <d v="2023-03-06T00:00:00"/>
    <s v="CUST197"/>
    <x v="1"/>
    <x v="0"/>
    <n v="42"/>
    <x v="1"/>
    <n v="4"/>
    <n v="50"/>
    <n v="200"/>
    <n v="3"/>
    <n v="4"/>
  </r>
  <r>
    <n v="198"/>
    <n v="7"/>
    <n v="3"/>
    <n v="2023"/>
    <s v="Tue"/>
    <s v="Mar"/>
    <d v="2023-03-07T00:00:00"/>
    <s v="CUST198"/>
    <x v="1"/>
    <x v="2"/>
    <n v="54"/>
    <x v="0"/>
    <n v="3"/>
    <n v="300"/>
    <n v="900"/>
    <n v="13.5"/>
    <n v="18"/>
  </r>
  <r>
    <n v="199"/>
    <n v="4"/>
    <n v="12"/>
    <n v="2023"/>
    <s v="Mon"/>
    <s v="Dec"/>
    <d v="2023-12-04T00:00:00"/>
    <s v="CUST199"/>
    <x v="0"/>
    <x v="0"/>
    <n v="45"/>
    <x v="0"/>
    <n v="3"/>
    <n v="500"/>
    <n v="1500"/>
    <n v="22.5"/>
    <n v="30"/>
  </r>
  <r>
    <n v="200"/>
    <n v="1"/>
    <n v="9"/>
    <n v="2023"/>
    <s v="Fri"/>
    <s v="Sep"/>
    <d v="2023-09-01T00:00:00"/>
    <s v="CUST200"/>
    <x v="0"/>
    <x v="1"/>
    <n v="27"/>
    <x v="0"/>
    <n v="3"/>
    <n v="50"/>
    <n v="150"/>
    <n v="2.25"/>
    <n v="3"/>
  </r>
  <r>
    <n v="201"/>
    <n v="9"/>
    <n v="10"/>
    <n v="2023"/>
    <s v="Mon"/>
    <s v="Oct"/>
    <d v="2023-10-09T00:00:00"/>
    <s v="CUST201"/>
    <x v="0"/>
    <x v="2"/>
    <n v="56"/>
    <x v="2"/>
    <n v="1"/>
    <n v="25"/>
    <n v="25"/>
    <n v="0.375"/>
    <n v="0.5"/>
  </r>
  <r>
    <n v="202"/>
    <n v="26"/>
    <n v="3"/>
    <n v="2023"/>
    <s v="Sun"/>
    <s v="Mar"/>
    <d v="2023-03-26T00:00:00"/>
    <s v="CUST202"/>
    <x v="1"/>
    <x v="0"/>
    <n v="34"/>
    <x v="1"/>
    <n v="4"/>
    <n v="300"/>
    <n v="1200"/>
    <n v="18"/>
    <n v="24"/>
  </r>
  <r>
    <n v="203"/>
    <n v="16"/>
    <n v="5"/>
    <n v="2023"/>
    <s v="Tue"/>
    <s v="May"/>
    <d v="2023-05-16T00:00:00"/>
    <s v="CUST203"/>
    <x v="0"/>
    <x v="2"/>
    <n v="56"/>
    <x v="1"/>
    <n v="2"/>
    <n v="500"/>
    <n v="1000"/>
    <n v="15"/>
    <n v="20"/>
  </r>
  <r>
    <n v="204"/>
    <n v="28"/>
    <n v="9"/>
    <n v="2023"/>
    <s v="Thu"/>
    <s v="Sep"/>
    <d v="2023-09-28T00:00:00"/>
    <s v="CUST204"/>
    <x v="0"/>
    <x v="0"/>
    <n v="39"/>
    <x v="0"/>
    <n v="1"/>
    <n v="25"/>
    <n v="25"/>
    <n v="0.375"/>
    <n v="0.5"/>
  </r>
  <r>
    <n v="205"/>
    <n v="7"/>
    <n v="11"/>
    <n v="2023"/>
    <s v="Tue"/>
    <s v="Nov"/>
    <d v="2023-11-07T00:00:00"/>
    <s v="CUST205"/>
    <x v="1"/>
    <x v="0"/>
    <n v="43"/>
    <x v="1"/>
    <n v="1"/>
    <n v="25"/>
    <n v="25"/>
    <n v="0.375"/>
    <n v="0.5"/>
  </r>
  <r>
    <n v="206"/>
    <n v="5"/>
    <n v="8"/>
    <n v="2023"/>
    <s v="Sat"/>
    <s v="Aug"/>
    <d v="2023-08-05T00:00:00"/>
    <s v="CUST206"/>
    <x v="0"/>
    <x v="2"/>
    <n v="61"/>
    <x v="1"/>
    <n v="1"/>
    <n v="25"/>
    <n v="25"/>
    <n v="0.375"/>
    <n v="0.5"/>
  </r>
  <r>
    <n v="207"/>
    <n v="19"/>
    <n v="4"/>
    <n v="2023"/>
    <s v="Wed"/>
    <s v="Apr"/>
    <d v="2023-04-19T00:00:00"/>
    <s v="CUST207"/>
    <x v="1"/>
    <x v="0"/>
    <n v="42"/>
    <x v="0"/>
    <n v="2"/>
    <n v="25"/>
    <n v="50"/>
    <n v="0.75"/>
    <n v="1"/>
  </r>
  <r>
    <n v="208"/>
    <n v="4"/>
    <n v="10"/>
    <n v="2023"/>
    <s v="Wed"/>
    <s v="Oct"/>
    <d v="2023-10-04T00:00:00"/>
    <s v="CUST208"/>
    <x v="1"/>
    <x v="0"/>
    <n v="34"/>
    <x v="2"/>
    <n v="4"/>
    <n v="50"/>
    <n v="200"/>
    <n v="3"/>
    <n v="4"/>
  </r>
  <r>
    <n v="209"/>
    <n v="20"/>
    <n v="12"/>
    <n v="2023"/>
    <s v="Wed"/>
    <s v="Dec"/>
    <d v="2023-12-20T00:00:00"/>
    <s v="CUST209"/>
    <x v="1"/>
    <x v="0"/>
    <n v="30"/>
    <x v="2"/>
    <n v="4"/>
    <n v="50"/>
    <n v="200"/>
    <n v="3"/>
    <n v="4"/>
  </r>
  <r>
    <n v="210"/>
    <n v="13"/>
    <n v="4"/>
    <n v="2023"/>
    <s v="Thu"/>
    <s v="Apr"/>
    <d v="2023-04-13T00:00:00"/>
    <s v="CUST210"/>
    <x v="0"/>
    <x v="0"/>
    <n v="37"/>
    <x v="2"/>
    <n v="4"/>
    <n v="50"/>
    <n v="200"/>
    <n v="3"/>
    <n v="4"/>
  </r>
  <r>
    <n v="211"/>
    <n v="1"/>
    <n v="1"/>
    <n v="2024"/>
    <s v="Mon"/>
    <s v="Jan"/>
    <d v="2024-01-01T00:00:00"/>
    <s v="CUST211"/>
    <x v="0"/>
    <x v="0"/>
    <n v="42"/>
    <x v="0"/>
    <n v="3"/>
    <n v="500"/>
    <n v="1500"/>
    <n v="22.5"/>
    <n v="30"/>
  </r>
  <r>
    <n v="212"/>
    <n v="9"/>
    <n v="6"/>
    <n v="2023"/>
    <s v="Fri"/>
    <s v="Jun"/>
    <d v="2023-06-09T00:00:00"/>
    <s v="CUST212"/>
    <x v="0"/>
    <x v="1"/>
    <n v="21"/>
    <x v="1"/>
    <n v="3"/>
    <n v="500"/>
    <n v="1500"/>
    <n v="22.5"/>
    <n v="30"/>
  </r>
  <r>
    <n v="213"/>
    <n v="24"/>
    <n v="7"/>
    <n v="2023"/>
    <s v="Mon"/>
    <s v="Jul"/>
    <d v="2023-07-24T00:00:00"/>
    <s v="CUST213"/>
    <x v="0"/>
    <x v="1"/>
    <n v="27"/>
    <x v="0"/>
    <n v="3"/>
    <n v="500"/>
    <n v="1500"/>
    <n v="22.5"/>
    <n v="30"/>
  </r>
  <r>
    <n v="214"/>
    <n v="10"/>
    <n v="12"/>
    <n v="2023"/>
    <s v="Sun"/>
    <s v="Dec"/>
    <d v="2023-12-10T00:00:00"/>
    <s v="CUST214"/>
    <x v="0"/>
    <x v="1"/>
    <n v="20"/>
    <x v="0"/>
    <n v="2"/>
    <n v="30"/>
    <n v="60"/>
    <n v="0.89999999999999991"/>
    <n v="1.2"/>
  </r>
  <r>
    <n v="215"/>
    <n v="29"/>
    <n v="11"/>
    <n v="2023"/>
    <s v="Wed"/>
    <s v="Nov"/>
    <d v="2023-11-29T00:00:00"/>
    <s v="CUST215"/>
    <x v="0"/>
    <x v="2"/>
    <n v="58"/>
    <x v="1"/>
    <n v="3"/>
    <n v="500"/>
    <n v="1500"/>
    <n v="22.5"/>
    <n v="30"/>
  </r>
  <r>
    <n v="216"/>
    <n v="11"/>
    <n v="7"/>
    <n v="2023"/>
    <s v="Tue"/>
    <s v="Jul"/>
    <d v="2023-07-11T00:00:00"/>
    <s v="CUST216"/>
    <x v="0"/>
    <x v="2"/>
    <n v="62"/>
    <x v="2"/>
    <n v="2"/>
    <n v="50"/>
    <n v="100"/>
    <n v="1.5"/>
    <n v="2"/>
  </r>
  <r>
    <n v="217"/>
    <n v="13"/>
    <n v="8"/>
    <n v="2023"/>
    <s v="Sun"/>
    <s v="Aug"/>
    <d v="2023-08-13T00:00:00"/>
    <s v="CUST217"/>
    <x v="1"/>
    <x v="0"/>
    <n v="35"/>
    <x v="2"/>
    <n v="4"/>
    <n v="50"/>
    <n v="200"/>
    <n v="3"/>
    <n v="4"/>
  </r>
  <r>
    <n v="218"/>
    <n v="22"/>
    <n v="9"/>
    <n v="2023"/>
    <s v="Fri"/>
    <s v="Sep"/>
    <d v="2023-09-22T00:00:00"/>
    <s v="CUST218"/>
    <x v="0"/>
    <x v="2"/>
    <n v="64"/>
    <x v="0"/>
    <n v="3"/>
    <n v="30"/>
    <n v="90"/>
    <n v="1.3499999999999999"/>
    <n v="1.8"/>
  </r>
  <r>
    <n v="219"/>
    <n v="20"/>
    <n v="8"/>
    <n v="2023"/>
    <s v="Sun"/>
    <s v="Aug"/>
    <d v="2023-08-20T00:00:00"/>
    <s v="CUST219"/>
    <x v="1"/>
    <x v="2"/>
    <n v="53"/>
    <x v="2"/>
    <n v="3"/>
    <n v="30"/>
    <n v="90"/>
    <n v="1.3499999999999999"/>
    <n v="1.8"/>
  </r>
  <r>
    <n v="220"/>
    <n v="3"/>
    <n v="3"/>
    <n v="2023"/>
    <s v="Fri"/>
    <s v="Mar"/>
    <d v="2023-03-03T00:00:00"/>
    <s v="CUST220"/>
    <x v="0"/>
    <x v="2"/>
    <n v="64"/>
    <x v="0"/>
    <n v="1"/>
    <n v="500"/>
    <n v="500"/>
    <n v="7.5"/>
    <n v="10"/>
  </r>
  <r>
    <n v="221"/>
    <n v="7"/>
    <n v="5"/>
    <n v="2023"/>
    <s v="Sun"/>
    <s v="May"/>
    <d v="2023-05-07T00:00:00"/>
    <s v="CUST221"/>
    <x v="0"/>
    <x v="0"/>
    <n v="39"/>
    <x v="0"/>
    <n v="2"/>
    <n v="300"/>
    <n v="600"/>
    <n v="9"/>
    <n v="12"/>
  </r>
  <r>
    <n v="222"/>
    <n v="26"/>
    <n v="4"/>
    <n v="2023"/>
    <s v="Wed"/>
    <s v="Apr"/>
    <d v="2023-04-26T00:00:00"/>
    <s v="CUST222"/>
    <x v="0"/>
    <x v="2"/>
    <n v="51"/>
    <x v="1"/>
    <n v="4"/>
    <n v="30"/>
    <n v="120"/>
    <n v="1.7999999999999998"/>
    <n v="2.4"/>
  </r>
  <r>
    <n v="223"/>
    <n v="2"/>
    <n v="2"/>
    <n v="2023"/>
    <s v="Thu"/>
    <s v="Feb"/>
    <d v="2023-02-02T00:00:00"/>
    <s v="CUST223"/>
    <x v="1"/>
    <x v="2"/>
    <n v="64"/>
    <x v="1"/>
    <n v="1"/>
    <n v="25"/>
    <n v="25"/>
    <n v="0.375"/>
    <n v="0.5"/>
  </r>
  <r>
    <n v="224"/>
    <n v="23"/>
    <n v="6"/>
    <n v="2023"/>
    <s v="Fri"/>
    <s v="Jun"/>
    <d v="2023-06-23T00:00:00"/>
    <s v="CUST224"/>
    <x v="1"/>
    <x v="1"/>
    <n v="25"/>
    <x v="1"/>
    <n v="1"/>
    <n v="50"/>
    <n v="50"/>
    <n v="0.75"/>
    <n v="1"/>
  </r>
  <r>
    <n v="225"/>
    <n v="11"/>
    <n v="1"/>
    <n v="2023"/>
    <s v="Wed"/>
    <s v="Jan"/>
    <d v="2023-01-11T00:00:00"/>
    <s v="CUST225"/>
    <x v="1"/>
    <x v="2"/>
    <n v="57"/>
    <x v="0"/>
    <n v="4"/>
    <n v="25"/>
    <n v="100"/>
    <n v="1.5"/>
    <n v="2"/>
  </r>
  <r>
    <n v="226"/>
    <n v="29"/>
    <n v="10"/>
    <n v="2023"/>
    <s v="Sun"/>
    <s v="Oct"/>
    <d v="2023-10-29T00:00:00"/>
    <s v="CUST226"/>
    <x v="1"/>
    <x v="2"/>
    <n v="61"/>
    <x v="1"/>
    <n v="1"/>
    <n v="50"/>
    <n v="50"/>
    <n v="0.75"/>
    <n v="1"/>
  </r>
  <r>
    <n v="227"/>
    <n v="11"/>
    <n v="10"/>
    <n v="2023"/>
    <s v="Wed"/>
    <s v="Oct"/>
    <d v="2023-10-11T00:00:00"/>
    <s v="CUST227"/>
    <x v="0"/>
    <x v="0"/>
    <n v="36"/>
    <x v="2"/>
    <n v="2"/>
    <n v="50"/>
    <n v="100"/>
    <n v="1.5"/>
    <n v="2"/>
  </r>
  <r>
    <n v="228"/>
    <n v="28"/>
    <n v="4"/>
    <n v="2023"/>
    <s v="Fri"/>
    <s v="Apr"/>
    <d v="2023-04-28T00:00:00"/>
    <s v="CUST228"/>
    <x v="1"/>
    <x v="2"/>
    <n v="59"/>
    <x v="2"/>
    <n v="2"/>
    <n v="30"/>
    <n v="60"/>
    <n v="0.89999999999999991"/>
    <n v="1.2"/>
  </r>
  <r>
    <n v="229"/>
    <n v="29"/>
    <n v="10"/>
    <n v="2023"/>
    <s v="Sun"/>
    <s v="Oct"/>
    <d v="2023-10-29T00:00:00"/>
    <s v="CUST229"/>
    <x v="0"/>
    <x v="2"/>
    <n v="58"/>
    <x v="0"/>
    <n v="3"/>
    <n v="30"/>
    <n v="90"/>
    <n v="1.3499999999999999"/>
    <n v="1.8"/>
  </r>
  <r>
    <n v="230"/>
    <n v="23"/>
    <n v="4"/>
    <n v="2023"/>
    <s v="Sun"/>
    <s v="Apr"/>
    <d v="2023-04-23T00:00:00"/>
    <s v="CUST230"/>
    <x v="0"/>
    <x v="2"/>
    <n v="54"/>
    <x v="0"/>
    <n v="1"/>
    <n v="25"/>
    <n v="25"/>
    <n v="0.375"/>
    <n v="0.5"/>
  </r>
  <r>
    <n v="231"/>
    <n v="4"/>
    <n v="1"/>
    <n v="2023"/>
    <s v="Wed"/>
    <s v="Jan"/>
    <d v="2023-01-04T00:00:00"/>
    <s v="CUST231"/>
    <x v="1"/>
    <x v="1"/>
    <n v="23"/>
    <x v="1"/>
    <n v="3"/>
    <n v="50"/>
    <n v="150"/>
    <n v="2.25"/>
    <n v="3"/>
  </r>
  <r>
    <n v="232"/>
    <n v="6"/>
    <n v="2"/>
    <n v="2023"/>
    <s v="Mon"/>
    <s v="Feb"/>
    <d v="2023-02-06T00:00:00"/>
    <s v="CUST232"/>
    <x v="1"/>
    <x v="0"/>
    <n v="43"/>
    <x v="0"/>
    <n v="1"/>
    <n v="25"/>
    <n v="25"/>
    <n v="0.375"/>
    <n v="0.5"/>
  </r>
  <r>
    <n v="233"/>
    <n v="29"/>
    <n v="12"/>
    <n v="2023"/>
    <s v="Fri"/>
    <s v="Dec"/>
    <d v="2023-12-29T00:00:00"/>
    <s v="CUST233"/>
    <x v="1"/>
    <x v="2"/>
    <n v="51"/>
    <x v="0"/>
    <n v="2"/>
    <n v="300"/>
    <n v="600"/>
    <n v="9"/>
    <n v="12"/>
  </r>
  <r>
    <n v="234"/>
    <n v="20"/>
    <n v="11"/>
    <n v="2023"/>
    <s v="Mon"/>
    <s v="Nov"/>
    <d v="2023-11-20T00:00:00"/>
    <s v="CUST234"/>
    <x v="1"/>
    <x v="2"/>
    <n v="62"/>
    <x v="2"/>
    <n v="2"/>
    <n v="25"/>
    <n v="50"/>
    <n v="0.75"/>
    <n v="1"/>
  </r>
  <r>
    <n v="235"/>
    <n v="31"/>
    <n v="1"/>
    <n v="2023"/>
    <s v="Tue"/>
    <s v="Jan"/>
    <d v="2023-01-31T00:00:00"/>
    <s v="CUST235"/>
    <x v="1"/>
    <x v="1"/>
    <n v="23"/>
    <x v="2"/>
    <n v="2"/>
    <n v="500"/>
    <n v="1000"/>
    <n v="15"/>
    <n v="20"/>
  </r>
  <r>
    <n v="236"/>
    <n v="28"/>
    <n v="4"/>
    <n v="2023"/>
    <s v="Fri"/>
    <s v="Apr"/>
    <d v="2023-04-28T00:00:00"/>
    <s v="CUST236"/>
    <x v="1"/>
    <x v="2"/>
    <n v="54"/>
    <x v="1"/>
    <n v="1"/>
    <n v="25"/>
    <n v="25"/>
    <n v="0.375"/>
    <n v="0.5"/>
  </r>
  <r>
    <n v="237"/>
    <n v="4"/>
    <n v="2"/>
    <n v="2023"/>
    <s v="Sat"/>
    <s v="Feb"/>
    <d v="2023-02-04T00:00:00"/>
    <s v="CUST237"/>
    <x v="1"/>
    <x v="2"/>
    <n v="50"/>
    <x v="0"/>
    <n v="2"/>
    <n v="500"/>
    <n v="1000"/>
    <n v="15"/>
    <n v="20"/>
  </r>
  <r>
    <n v="238"/>
    <n v="17"/>
    <n v="1"/>
    <n v="2023"/>
    <s v="Tue"/>
    <s v="Jan"/>
    <d v="2023-01-17T00:00:00"/>
    <s v="CUST238"/>
    <x v="1"/>
    <x v="0"/>
    <n v="39"/>
    <x v="0"/>
    <n v="1"/>
    <n v="500"/>
    <n v="500"/>
    <n v="7.5"/>
    <n v="10"/>
  </r>
  <r>
    <n v="239"/>
    <n v="19"/>
    <n v="6"/>
    <n v="2023"/>
    <s v="Mon"/>
    <s v="Jun"/>
    <d v="2023-06-19T00:00:00"/>
    <s v="CUST239"/>
    <x v="0"/>
    <x v="0"/>
    <n v="38"/>
    <x v="2"/>
    <n v="3"/>
    <n v="500"/>
    <n v="1500"/>
    <n v="22.5"/>
    <n v="30"/>
  </r>
  <r>
    <n v="240"/>
    <n v="6"/>
    <n v="2"/>
    <n v="2023"/>
    <s v="Mon"/>
    <s v="Feb"/>
    <d v="2023-02-06T00:00:00"/>
    <s v="CUST240"/>
    <x v="1"/>
    <x v="1"/>
    <n v="23"/>
    <x v="0"/>
    <n v="1"/>
    <n v="300"/>
    <n v="300"/>
    <n v="4.5"/>
    <n v="6"/>
  </r>
  <r>
    <n v="241"/>
    <n v="21"/>
    <n v="9"/>
    <n v="2023"/>
    <s v="Thu"/>
    <s v="Sep"/>
    <d v="2023-09-21T00:00:00"/>
    <s v="CUST241"/>
    <x v="1"/>
    <x v="1"/>
    <n v="23"/>
    <x v="2"/>
    <n v="3"/>
    <n v="25"/>
    <n v="75"/>
    <n v="1.125"/>
    <n v="1.5"/>
  </r>
  <r>
    <n v="242"/>
    <n v="2"/>
    <n v="5"/>
    <n v="2023"/>
    <s v="Tue"/>
    <s v="May"/>
    <d v="2023-05-02T00:00:00"/>
    <s v="CUST242"/>
    <x v="0"/>
    <x v="1"/>
    <n v="21"/>
    <x v="1"/>
    <n v="1"/>
    <n v="25"/>
    <n v="25"/>
    <n v="0.375"/>
    <n v="0.5"/>
  </r>
  <r>
    <n v="243"/>
    <n v="23"/>
    <n v="5"/>
    <n v="2023"/>
    <s v="Tue"/>
    <s v="May"/>
    <d v="2023-05-23T00:00:00"/>
    <s v="CUST243"/>
    <x v="1"/>
    <x v="0"/>
    <n v="47"/>
    <x v="2"/>
    <n v="3"/>
    <n v="300"/>
    <n v="900"/>
    <n v="13.5"/>
    <n v="18"/>
  </r>
  <r>
    <n v="244"/>
    <n v="9"/>
    <n v="12"/>
    <n v="2023"/>
    <s v="Sat"/>
    <s v="Dec"/>
    <d v="2023-12-09T00:00:00"/>
    <s v="CUST244"/>
    <x v="0"/>
    <x v="1"/>
    <n v="28"/>
    <x v="0"/>
    <n v="2"/>
    <n v="50"/>
    <n v="100"/>
    <n v="1.5"/>
    <n v="2"/>
  </r>
  <r>
    <n v="245"/>
    <n v="6"/>
    <n v="9"/>
    <n v="2023"/>
    <s v="Wed"/>
    <s v="Sep"/>
    <d v="2023-09-06T00:00:00"/>
    <s v="CUST245"/>
    <x v="0"/>
    <x v="0"/>
    <n v="47"/>
    <x v="1"/>
    <n v="3"/>
    <n v="30"/>
    <n v="90"/>
    <n v="1.3499999999999999"/>
    <n v="1.8"/>
  </r>
  <r>
    <n v="246"/>
    <n v="20"/>
    <n v="4"/>
    <n v="2023"/>
    <s v="Thu"/>
    <s v="Apr"/>
    <d v="2023-04-20T00:00:00"/>
    <s v="CUST246"/>
    <x v="1"/>
    <x v="0"/>
    <n v="48"/>
    <x v="2"/>
    <n v="2"/>
    <n v="25"/>
    <n v="50"/>
    <n v="0.75"/>
    <n v="1"/>
  </r>
  <r>
    <n v="247"/>
    <n v="4"/>
    <n v="10"/>
    <n v="2023"/>
    <s v="Wed"/>
    <s v="Oct"/>
    <d v="2023-10-04T00:00:00"/>
    <s v="CUST247"/>
    <x v="0"/>
    <x v="0"/>
    <n v="41"/>
    <x v="2"/>
    <n v="2"/>
    <n v="30"/>
    <n v="60"/>
    <n v="0.89999999999999991"/>
    <n v="1.2"/>
  </r>
  <r>
    <n v="248"/>
    <n v="9"/>
    <n v="3"/>
    <n v="2023"/>
    <s v="Thu"/>
    <s v="Mar"/>
    <d v="2023-03-09T00:00:00"/>
    <s v="CUST248"/>
    <x v="0"/>
    <x v="1"/>
    <n v="26"/>
    <x v="1"/>
    <n v="3"/>
    <n v="300"/>
    <n v="900"/>
    <n v="13.5"/>
    <n v="18"/>
  </r>
  <r>
    <n v="249"/>
    <n v="20"/>
    <n v="10"/>
    <n v="2023"/>
    <s v="Fri"/>
    <s v="Oct"/>
    <d v="2023-10-20T00:00:00"/>
    <s v="CUST249"/>
    <x v="0"/>
    <x v="1"/>
    <n v="20"/>
    <x v="1"/>
    <n v="1"/>
    <n v="50"/>
    <n v="50"/>
    <n v="0.75"/>
    <n v="1"/>
  </r>
  <r>
    <n v="250"/>
    <n v="23"/>
    <n v="10"/>
    <n v="2023"/>
    <s v="Mon"/>
    <s v="Oct"/>
    <d v="2023-10-23T00:00:00"/>
    <s v="CUST250"/>
    <x v="0"/>
    <x v="0"/>
    <n v="48"/>
    <x v="2"/>
    <n v="1"/>
    <n v="50"/>
    <n v="50"/>
    <n v="0.75"/>
    <n v="1"/>
  </r>
  <r>
    <n v="251"/>
    <n v="31"/>
    <n v="8"/>
    <n v="2023"/>
    <s v="Thu"/>
    <s v="Aug"/>
    <d v="2023-08-31T00:00:00"/>
    <s v="CUST251"/>
    <x v="1"/>
    <x v="2"/>
    <n v="57"/>
    <x v="0"/>
    <n v="4"/>
    <n v="50"/>
    <n v="200"/>
    <n v="3"/>
    <n v="4"/>
  </r>
  <r>
    <n v="252"/>
    <n v="5"/>
    <n v="5"/>
    <n v="2023"/>
    <s v="Fri"/>
    <s v="May"/>
    <d v="2023-05-05T00:00:00"/>
    <s v="CUST252"/>
    <x v="0"/>
    <x v="2"/>
    <n v="54"/>
    <x v="2"/>
    <n v="1"/>
    <n v="300"/>
    <n v="300"/>
    <n v="4.5"/>
    <n v="6"/>
  </r>
  <r>
    <n v="253"/>
    <n v="31"/>
    <n v="8"/>
    <n v="2023"/>
    <s v="Thu"/>
    <s v="Aug"/>
    <d v="2023-08-31T00:00:00"/>
    <s v="CUST253"/>
    <x v="1"/>
    <x v="2"/>
    <n v="53"/>
    <x v="1"/>
    <n v="4"/>
    <n v="500"/>
    <n v="2000"/>
    <n v="30"/>
    <n v="40"/>
  </r>
  <r>
    <n v="254"/>
    <n v="28"/>
    <n v="7"/>
    <n v="2023"/>
    <s v="Fri"/>
    <s v="Jul"/>
    <d v="2023-07-28T00:00:00"/>
    <s v="CUST254"/>
    <x v="0"/>
    <x v="0"/>
    <n v="41"/>
    <x v="2"/>
    <n v="1"/>
    <n v="500"/>
    <n v="500"/>
    <n v="7.5"/>
    <n v="10"/>
  </r>
  <r>
    <n v="255"/>
    <n v="8"/>
    <n v="4"/>
    <n v="2023"/>
    <s v="Sat"/>
    <s v="Apr"/>
    <d v="2023-04-08T00:00:00"/>
    <s v="CUST255"/>
    <x v="0"/>
    <x v="0"/>
    <n v="48"/>
    <x v="1"/>
    <n v="1"/>
    <n v="30"/>
    <n v="30"/>
    <n v="0.44999999999999996"/>
    <n v="0.6"/>
  </r>
  <r>
    <n v="256"/>
    <n v="18"/>
    <n v="2"/>
    <n v="2023"/>
    <s v="Sat"/>
    <s v="Feb"/>
    <d v="2023-02-18T00:00:00"/>
    <s v="CUST256"/>
    <x v="0"/>
    <x v="1"/>
    <n v="23"/>
    <x v="1"/>
    <n v="2"/>
    <n v="500"/>
    <n v="1000"/>
    <n v="15"/>
    <n v="20"/>
  </r>
  <r>
    <n v="257"/>
    <n v="19"/>
    <n v="2"/>
    <n v="2023"/>
    <s v="Sun"/>
    <s v="Feb"/>
    <d v="2023-02-19T00:00:00"/>
    <s v="CUST257"/>
    <x v="0"/>
    <x v="1"/>
    <n v="19"/>
    <x v="0"/>
    <n v="4"/>
    <n v="500"/>
    <n v="2000"/>
    <n v="30"/>
    <n v="40"/>
  </r>
  <r>
    <n v="258"/>
    <n v="4"/>
    <n v="12"/>
    <n v="2023"/>
    <s v="Mon"/>
    <s v="Dec"/>
    <d v="2023-12-04T00:00:00"/>
    <s v="CUST258"/>
    <x v="1"/>
    <x v="0"/>
    <n v="37"/>
    <x v="1"/>
    <n v="1"/>
    <n v="50"/>
    <n v="50"/>
    <n v="0.75"/>
    <n v="1"/>
  </r>
  <r>
    <n v="259"/>
    <n v="9"/>
    <n v="8"/>
    <n v="2023"/>
    <s v="Wed"/>
    <s v="Aug"/>
    <d v="2023-08-09T00:00:00"/>
    <s v="CUST259"/>
    <x v="1"/>
    <x v="0"/>
    <n v="45"/>
    <x v="1"/>
    <n v="4"/>
    <n v="50"/>
    <n v="200"/>
    <n v="3"/>
    <n v="4"/>
  </r>
  <r>
    <n v="260"/>
    <n v="1"/>
    <n v="7"/>
    <n v="2023"/>
    <s v="Sat"/>
    <s v="Jul"/>
    <d v="2023-07-01T00:00:00"/>
    <s v="CUST260"/>
    <x v="0"/>
    <x v="1"/>
    <n v="28"/>
    <x v="0"/>
    <n v="2"/>
    <n v="30"/>
    <n v="60"/>
    <n v="0.89999999999999991"/>
    <n v="1.2"/>
  </r>
  <r>
    <n v="261"/>
    <n v="5"/>
    <n v="8"/>
    <n v="2023"/>
    <s v="Sat"/>
    <s v="Aug"/>
    <d v="2023-08-05T00:00:00"/>
    <s v="CUST261"/>
    <x v="0"/>
    <x v="1"/>
    <n v="21"/>
    <x v="1"/>
    <n v="2"/>
    <n v="25"/>
    <n v="50"/>
    <n v="0.75"/>
    <n v="1"/>
  </r>
  <r>
    <n v="262"/>
    <n v="30"/>
    <n v="7"/>
    <n v="2023"/>
    <s v="Sun"/>
    <s v="Jul"/>
    <d v="2023-07-30T00:00:00"/>
    <s v="CUST262"/>
    <x v="1"/>
    <x v="0"/>
    <n v="32"/>
    <x v="0"/>
    <n v="4"/>
    <n v="30"/>
    <n v="120"/>
    <n v="1.7999999999999998"/>
    <n v="2.4"/>
  </r>
  <r>
    <n v="263"/>
    <n v="28"/>
    <n v="8"/>
    <n v="2023"/>
    <s v="Mon"/>
    <s v="Aug"/>
    <d v="2023-08-28T00:00:00"/>
    <s v="CUST263"/>
    <x v="0"/>
    <x v="1"/>
    <n v="23"/>
    <x v="0"/>
    <n v="2"/>
    <n v="30"/>
    <n v="60"/>
    <n v="0.89999999999999991"/>
    <n v="1.2"/>
  </r>
  <r>
    <n v="264"/>
    <n v="28"/>
    <n v="1"/>
    <n v="2023"/>
    <s v="Sat"/>
    <s v="Jan"/>
    <d v="2023-01-28T00:00:00"/>
    <s v="CUST264"/>
    <x v="0"/>
    <x v="0"/>
    <n v="47"/>
    <x v="1"/>
    <n v="3"/>
    <n v="300"/>
    <n v="900"/>
    <n v="13.5"/>
    <n v="18"/>
  </r>
  <r>
    <n v="265"/>
    <n v="11"/>
    <n v="12"/>
    <n v="2023"/>
    <s v="Mon"/>
    <s v="Dec"/>
    <d v="2023-12-11T00:00:00"/>
    <s v="CUST265"/>
    <x v="0"/>
    <x v="2"/>
    <n v="55"/>
    <x v="1"/>
    <n v="3"/>
    <n v="300"/>
    <n v="900"/>
    <n v="13.5"/>
    <n v="18"/>
  </r>
  <r>
    <n v="266"/>
    <n v="1"/>
    <n v="12"/>
    <n v="2023"/>
    <s v="Fri"/>
    <s v="Dec"/>
    <d v="2023-12-01T00:00:00"/>
    <s v="CUST266"/>
    <x v="1"/>
    <x v="1"/>
    <n v="19"/>
    <x v="2"/>
    <n v="2"/>
    <n v="30"/>
    <n v="60"/>
    <n v="0.89999999999999991"/>
    <n v="1.2"/>
  </r>
  <r>
    <n v="267"/>
    <n v="27"/>
    <n v="11"/>
    <n v="2023"/>
    <s v="Mon"/>
    <s v="Nov"/>
    <d v="2023-11-27T00:00:00"/>
    <s v="CUST267"/>
    <x v="1"/>
    <x v="0"/>
    <n v="32"/>
    <x v="0"/>
    <n v="3"/>
    <n v="30"/>
    <n v="90"/>
    <n v="1.3499999999999999"/>
    <n v="1.8"/>
  </r>
  <r>
    <n v="268"/>
    <n v="20"/>
    <n v="2"/>
    <n v="2023"/>
    <s v="Mon"/>
    <s v="Feb"/>
    <d v="2023-02-20T00:00:00"/>
    <s v="CUST268"/>
    <x v="1"/>
    <x v="1"/>
    <n v="28"/>
    <x v="2"/>
    <n v="1"/>
    <n v="30"/>
    <n v="30"/>
    <n v="0.44999999999999996"/>
    <n v="0.6"/>
  </r>
  <r>
    <n v="269"/>
    <n v="1"/>
    <n v="2"/>
    <n v="2023"/>
    <s v="Wed"/>
    <s v="Feb"/>
    <d v="2023-02-01T00:00:00"/>
    <s v="CUST269"/>
    <x v="0"/>
    <x v="1"/>
    <n v="25"/>
    <x v="1"/>
    <n v="4"/>
    <n v="500"/>
    <n v="2000"/>
    <n v="30"/>
    <n v="40"/>
  </r>
  <r>
    <n v="270"/>
    <n v="26"/>
    <n v="7"/>
    <n v="2023"/>
    <s v="Wed"/>
    <s v="Jul"/>
    <d v="2023-07-26T00:00:00"/>
    <s v="CUST270"/>
    <x v="0"/>
    <x v="0"/>
    <n v="43"/>
    <x v="2"/>
    <n v="1"/>
    <n v="300"/>
    <n v="300"/>
    <n v="4.5"/>
    <n v="6"/>
  </r>
  <r>
    <n v="271"/>
    <n v="23"/>
    <n v="6"/>
    <n v="2023"/>
    <s v="Fri"/>
    <s v="Jun"/>
    <d v="2023-06-23T00:00:00"/>
    <s v="CUST271"/>
    <x v="1"/>
    <x v="2"/>
    <n v="62"/>
    <x v="0"/>
    <n v="4"/>
    <n v="30"/>
    <n v="120"/>
    <n v="1.7999999999999998"/>
    <n v="2.4"/>
  </r>
  <r>
    <n v="272"/>
    <n v="25"/>
    <n v="2"/>
    <n v="2023"/>
    <s v="Sat"/>
    <s v="Feb"/>
    <d v="2023-02-25T00:00:00"/>
    <s v="CUST272"/>
    <x v="1"/>
    <x v="2"/>
    <n v="61"/>
    <x v="2"/>
    <n v="2"/>
    <n v="50"/>
    <n v="100"/>
    <n v="1.5"/>
    <n v="2"/>
  </r>
  <r>
    <n v="273"/>
    <n v="8"/>
    <n v="5"/>
    <n v="2023"/>
    <s v="Mon"/>
    <s v="May"/>
    <d v="2023-05-08T00:00:00"/>
    <s v="CUST273"/>
    <x v="1"/>
    <x v="1"/>
    <n v="22"/>
    <x v="0"/>
    <n v="1"/>
    <n v="50"/>
    <n v="50"/>
    <n v="0.75"/>
    <n v="1"/>
  </r>
  <r>
    <n v="274"/>
    <n v="9"/>
    <n v="4"/>
    <n v="2023"/>
    <s v="Sun"/>
    <s v="Apr"/>
    <d v="2023-04-09T00:00:00"/>
    <s v="CUST274"/>
    <x v="1"/>
    <x v="1"/>
    <n v="23"/>
    <x v="1"/>
    <n v="2"/>
    <n v="500"/>
    <n v="1000"/>
    <n v="15"/>
    <n v="20"/>
  </r>
  <r>
    <n v="275"/>
    <n v="8"/>
    <n v="4"/>
    <n v="2023"/>
    <s v="Sat"/>
    <s v="Apr"/>
    <d v="2023-04-08T00:00:00"/>
    <s v="CUST275"/>
    <x v="0"/>
    <x v="0"/>
    <n v="43"/>
    <x v="1"/>
    <n v="2"/>
    <n v="500"/>
    <n v="1000"/>
    <n v="15"/>
    <n v="20"/>
  </r>
  <r>
    <n v="276"/>
    <n v="2"/>
    <n v="10"/>
    <n v="2023"/>
    <s v="Mon"/>
    <s v="Oct"/>
    <d v="2023-10-02T00:00:00"/>
    <s v="CUST276"/>
    <x v="1"/>
    <x v="1"/>
    <n v="21"/>
    <x v="0"/>
    <n v="4"/>
    <n v="25"/>
    <n v="100"/>
    <n v="1.5"/>
    <n v="2"/>
  </r>
  <r>
    <n v="277"/>
    <n v="18"/>
    <n v="8"/>
    <n v="2023"/>
    <s v="Fri"/>
    <s v="Aug"/>
    <d v="2023-08-18T00:00:00"/>
    <s v="CUST277"/>
    <x v="0"/>
    <x v="0"/>
    <n v="36"/>
    <x v="1"/>
    <n v="4"/>
    <n v="25"/>
    <n v="100"/>
    <n v="1.5"/>
    <n v="2"/>
  </r>
  <r>
    <n v="278"/>
    <n v="13"/>
    <n v="3"/>
    <n v="2023"/>
    <s v="Mon"/>
    <s v="Mar"/>
    <d v="2023-03-13T00:00:00"/>
    <s v="CUST278"/>
    <x v="1"/>
    <x v="0"/>
    <n v="37"/>
    <x v="1"/>
    <n v="4"/>
    <n v="25"/>
    <n v="100"/>
    <n v="1.5"/>
    <n v="2"/>
  </r>
  <r>
    <n v="279"/>
    <n v="5"/>
    <n v="8"/>
    <n v="2023"/>
    <s v="Sat"/>
    <s v="Aug"/>
    <d v="2023-08-05T00:00:00"/>
    <s v="CUST279"/>
    <x v="0"/>
    <x v="2"/>
    <n v="50"/>
    <x v="1"/>
    <n v="1"/>
    <n v="500"/>
    <n v="500"/>
    <n v="7.5"/>
    <n v="10"/>
  </r>
  <r>
    <n v="280"/>
    <n v="4"/>
    <n v="4"/>
    <n v="2023"/>
    <s v="Tue"/>
    <s v="Apr"/>
    <d v="2023-04-04T00:00:00"/>
    <s v="CUST280"/>
    <x v="1"/>
    <x v="0"/>
    <n v="37"/>
    <x v="1"/>
    <n v="3"/>
    <n v="500"/>
    <n v="1500"/>
    <n v="22.5"/>
    <n v="30"/>
  </r>
  <r>
    <n v="281"/>
    <n v="23"/>
    <n v="5"/>
    <n v="2023"/>
    <s v="Tue"/>
    <s v="May"/>
    <d v="2023-05-23T00:00:00"/>
    <s v="CUST281"/>
    <x v="1"/>
    <x v="1"/>
    <n v="29"/>
    <x v="0"/>
    <n v="4"/>
    <n v="500"/>
    <n v="2000"/>
    <n v="30"/>
    <n v="40"/>
  </r>
  <r>
    <n v="282"/>
    <n v="25"/>
    <n v="8"/>
    <n v="2023"/>
    <s v="Fri"/>
    <s v="Aug"/>
    <d v="2023-08-25T00:00:00"/>
    <s v="CUST282"/>
    <x v="1"/>
    <x v="2"/>
    <n v="64"/>
    <x v="2"/>
    <n v="4"/>
    <n v="50"/>
    <n v="200"/>
    <n v="3"/>
    <n v="4"/>
  </r>
  <r>
    <n v="283"/>
    <n v="8"/>
    <n v="5"/>
    <n v="2023"/>
    <s v="Mon"/>
    <s v="May"/>
    <d v="2023-05-08T00:00:00"/>
    <s v="CUST283"/>
    <x v="1"/>
    <x v="1"/>
    <n v="18"/>
    <x v="2"/>
    <n v="1"/>
    <n v="500"/>
    <n v="500"/>
    <n v="7.5"/>
    <n v="10"/>
  </r>
  <r>
    <n v="284"/>
    <n v="8"/>
    <n v="2"/>
    <n v="2023"/>
    <s v="Wed"/>
    <s v="Feb"/>
    <d v="2023-02-08T00:00:00"/>
    <s v="CUST284"/>
    <x v="0"/>
    <x v="0"/>
    <n v="43"/>
    <x v="1"/>
    <n v="4"/>
    <n v="50"/>
    <n v="200"/>
    <n v="3"/>
    <n v="4"/>
  </r>
  <r>
    <n v="285"/>
    <n v="15"/>
    <n v="8"/>
    <n v="2023"/>
    <s v="Tue"/>
    <s v="Aug"/>
    <d v="2023-08-15T00:00:00"/>
    <s v="CUST285"/>
    <x v="1"/>
    <x v="0"/>
    <n v="31"/>
    <x v="2"/>
    <n v="1"/>
    <n v="25"/>
    <n v="25"/>
    <n v="0.375"/>
    <n v="0.5"/>
  </r>
  <r>
    <n v="286"/>
    <n v="9"/>
    <n v="10"/>
    <n v="2023"/>
    <s v="Mon"/>
    <s v="Oct"/>
    <d v="2023-10-09T00:00:00"/>
    <s v="CUST286"/>
    <x v="0"/>
    <x v="2"/>
    <n v="55"/>
    <x v="2"/>
    <n v="2"/>
    <n v="25"/>
    <n v="50"/>
    <n v="0.75"/>
    <n v="1"/>
  </r>
  <r>
    <n v="287"/>
    <n v="20"/>
    <n v="2"/>
    <n v="2023"/>
    <s v="Mon"/>
    <s v="Feb"/>
    <d v="2023-02-20T00:00:00"/>
    <s v="CUST287"/>
    <x v="0"/>
    <x v="2"/>
    <n v="54"/>
    <x v="1"/>
    <n v="4"/>
    <n v="25"/>
    <n v="100"/>
    <n v="1.5"/>
    <n v="2"/>
  </r>
  <r>
    <n v="288"/>
    <n v="26"/>
    <n v="1"/>
    <n v="2023"/>
    <s v="Thu"/>
    <s v="Jan"/>
    <d v="2023-01-26T00:00:00"/>
    <s v="CUST288"/>
    <x v="0"/>
    <x v="1"/>
    <n v="28"/>
    <x v="1"/>
    <n v="4"/>
    <n v="30"/>
    <n v="120"/>
    <n v="1.7999999999999998"/>
    <n v="2.4"/>
  </r>
  <r>
    <n v="289"/>
    <n v="30"/>
    <n v="11"/>
    <n v="2023"/>
    <s v="Thu"/>
    <s v="Nov"/>
    <d v="2023-11-30T00:00:00"/>
    <s v="CUST289"/>
    <x v="0"/>
    <x v="2"/>
    <n v="53"/>
    <x v="2"/>
    <n v="2"/>
    <n v="30"/>
    <n v="60"/>
    <n v="0.89999999999999991"/>
    <n v="1.2"/>
  </r>
  <r>
    <n v="290"/>
    <n v="4"/>
    <n v="10"/>
    <n v="2023"/>
    <s v="Wed"/>
    <s v="Oct"/>
    <d v="2023-10-04T00:00:00"/>
    <s v="CUST290"/>
    <x v="1"/>
    <x v="0"/>
    <n v="30"/>
    <x v="0"/>
    <n v="2"/>
    <n v="300"/>
    <n v="600"/>
    <n v="9"/>
    <n v="12"/>
  </r>
  <r>
    <n v="291"/>
    <n v="8"/>
    <n v="1"/>
    <n v="2023"/>
    <s v="Sun"/>
    <s v="Jan"/>
    <d v="2023-01-08T00:00:00"/>
    <s v="CUST291"/>
    <x v="0"/>
    <x v="2"/>
    <n v="60"/>
    <x v="1"/>
    <n v="2"/>
    <n v="300"/>
    <n v="600"/>
    <n v="9"/>
    <n v="12"/>
  </r>
  <r>
    <n v="292"/>
    <n v="17"/>
    <n v="2"/>
    <n v="2023"/>
    <s v="Fri"/>
    <s v="Feb"/>
    <d v="2023-02-17T00:00:00"/>
    <s v="CUST292"/>
    <x v="0"/>
    <x v="1"/>
    <n v="20"/>
    <x v="0"/>
    <n v="4"/>
    <n v="300"/>
    <n v="1200"/>
    <n v="18"/>
    <n v="24"/>
  </r>
  <r>
    <n v="293"/>
    <n v="2"/>
    <n v="5"/>
    <n v="2023"/>
    <s v="Tue"/>
    <s v="May"/>
    <d v="2023-05-02T00:00:00"/>
    <s v="CUST293"/>
    <x v="0"/>
    <x v="2"/>
    <n v="50"/>
    <x v="2"/>
    <n v="3"/>
    <n v="30"/>
    <n v="90"/>
    <n v="1.3499999999999999"/>
    <n v="1.8"/>
  </r>
  <r>
    <n v="294"/>
    <n v="27"/>
    <n v="3"/>
    <n v="2023"/>
    <s v="Mon"/>
    <s v="Mar"/>
    <d v="2023-03-27T00:00:00"/>
    <s v="CUST294"/>
    <x v="1"/>
    <x v="1"/>
    <n v="23"/>
    <x v="1"/>
    <n v="3"/>
    <n v="30"/>
    <n v="90"/>
    <n v="1.3499999999999999"/>
    <n v="1.8"/>
  </r>
  <r>
    <n v="295"/>
    <n v="28"/>
    <n v="7"/>
    <n v="2023"/>
    <s v="Fri"/>
    <s v="Jul"/>
    <d v="2023-07-28T00:00:00"/>
    <s v="CUST295"/>
    <x v="1"/>
    <x v="1"/>
    <n v="27"/>
    <x v="0"/>
    <n v="3"/>
    <n v="300"/>
    <n v="900"/>
    <n v="13.5"/>
    <n v="18"/>
  </r>
  <r>
    <n v="296"/>
    <n v="6"/>
    <n v="9"/>
    <n v="2023"/>
    <s v="Wed"/>
    <s v="Sep"/>
    <d v="2023-09-06T00:00:00"/>
    <s v="CUST296"/>
    <x v="1"/>
    <x v="1"/>
    <n v="22"/>
    <x v="1"/>
    <n v="4"/>
    <n v="300"/>
    <n v="1200"/>
    <n v="18"/>
    <n v="24"/>
  </r>
  <r>
    <n v="297"/>
    <n v="4"/>
    <n v="9"/>
    <n v="2023"/>
    <s v="Mon"/>
    <s v="Sep"/>
    <d v="2023-09-04T00:00:00"/>
    <s v="CUST297"/>
    <x v="1"/>
    <x v="0"/>
    <n v="40"/>
    <x v="2"/>
    <n v="2"/>
    <n v="500"/>
    <n v="1000"/>
    <n v="15"/>
    <n v="20"/>
  </r>
  <r>
    <n v="298"/>
    <n v="20"/>
    <n v="4"/>
    <n v="2023"/>
    <s v="Thu"/>
    <s v="Apr"/>
    <d v="2023-04-20T00:00:00"/>
    <s v="CUST298"/>
    <x v="0"/>
    <x v="1"/>
    <n v="27"/>
    <x v="0"/>
    <n v="4"/>
    <n v="300"/>
    <n v="1200"/>
    <n v="18"/>
    <n v="24"/>
  </r>
  <r>
    <n v="299"/>
    <n v="25"/>
    <n v="7"/>
    <n v="2023"/>
    <s v="Tue"/>
    <s v="Jul"/>
    <d v="2023-07-25T00:00:00"/>
    <s v="CUST299"/>
    <x v="0"/>
    <x v="2"/>
    <n v="61"/>
    <x v="2"/>
    <n v="2"/>
    <n v="500"/>
    <n v="1000"/>
    <n v="15"/>
    <n v="20"/>
  </r>
  <r>
    <n v="300"/>
    <n v="31"/>
    <n v="1"/>
    <n v="2023"/>
    <s v="Tue"/>
    <s v="Jan"/>
    <d v="2023-01-31T00:00:00"/>
    <s v="CUST300"/>
    <x v="1"/>
    <x v="1"/>
    <n v="19"/>
    <x v="2"/>
    <n v="4"/>
    <n v="50"/>
    <n v="200"/>
    <n v="3"/>
    <n v="4"/>
  </r>
  <r>
    <n v="301"/>
    <n v="26"/>
    <n v="3"/>
    <n v="2023"/>
    <s v="Sun"/>
    <s v="Mar"/>
    <d v="2023-03-26T00:00:00"/>
    <s v="CUST301"/>
    <x v="0"/>
    <x v="0"/>
    <n v="30"/>
    <x v="1"/>
    <n v="4"/>
    <n v="30"/>
    <n v="120"/>
    <n v="1.7999999999999998"/>
    <n v="2.4"/>
  </r>
  <r>
    <n v="302"/>
    <n v="14"/>
    <n v="7"/>
    <n v="2023"/>
    <s v="Fri"/>
    <s v="Jul"/>
    <d v="2023-07-14T00:00:00"/>
    <s v="CUST302"/>
    <x v="0"/>
    <x v="2"/>
    <n v="57"/>
    <x v="0"/>
    <n v="2"/>
    <n v="300"/>
    <n v="600"/>
    <n v="9"/>
    <n v="12"/>
  </r>
  <r>
    <n v="303"/>
    <n v="2"/>
    <n v="1"/>
    <n v="2023"/>
    <s v="Mon"/>
    <s v="Jan"/>
    <d v="2023-01-02T00:00:00"/>
    <s v="CUST303"/>
    <x v="0"/>
    <x v="1"/>
    <n v="19"/>
    <x v="2"/>
    <n v="3"/>
    <n v="30"/>
    <n v="90"/>
    <n v="1.3499999999999999"/>
    <n v="1.8"/>
  </r>
  <r>
    <n v="304"/>
    <n v="19"/>
    <n v="7"/>
    <n v="2023"/>
    <s v="Wed"/>
    <s v="Jul"/>
    <d v="2023-07-19T00:00:00"/>
    <s v="CUST304"/>
    <x v="1"/>
    <x v="0"/>
    <n v="37"/>
    <x v="2"/>
    <n v="2"/>
    <n v="30"/>
    <n v="60"/>
    <n v="0.89999999999999991"/>
    <n v="1.2"/>
  </r>
  <r>
    <n v="305"/>
    <n v="16"/>
    <n v="5"/>
    <n v="2023"/>
    <s v="Tue"/>
    <s v="May"/>
    <d v="2023-05-16T00:00:00"/>
    <s v="CUST305"/>
    <x v="1"/>
    <x v="1"/>
    <n v="18"/>
    <x v="0"/>
    <n v="1"/>
    <n v="30"/>
    <n v="30"/>
    <n v="0.44999999999999996"/>
    <n v="0.6"/>
  </r>
  <r>
    <n v="306"/>
    <n v="21"/>
    <n v="8"/>
    <n v="2023"/>
    <s v="Mon"/>
    <s v="Aug"/>
    <d v="2023-08-21T00:00:00"/>
    <s v="CUST306"/>
    <x v="0"/>
    <x v="2"/>
    <n v="54"/>
    <x v="2"/>
    <n v="1"/>
    <n v="50"/>
    <n v="50"/>
    <n v="0.75"/>
    <n v="1"/>
  </r>
  <r>
    <n v="307"/>
    <n v="27"/>
    <n v="5"/>
    <n v="2023"/>
    <s v="Sat"/>
    <s v="May"/>
    <d v="2023-05-27T00:00:00"/>
    <s v="CUST307"/>
    <x v="1"/>
    <x v="1"/>
    <n v="26"/>
    <x v="2"/>
    <n v="2"/>
    <n v="25"/>
    <n v="50"/>
    <n v="0.75"/>
    <n v="1"/>
  </r>
  <r>
    <n v="308"/>
    <n v="5"/>
    <n v="8"/>
    <n v="2023"/>
    <s v="Sat"/>
    <s v="Aug"/>
    <d v="2023-08-05T00:00:00"/>
    <s v="CUST308"/>
    <x v="1"/>
    <x v="0"/>
    <n v="34"/>
    <x v="0"/>
    <n v="4"/>
    <n v="300"/>
    <n v="1200"/>
    <n v="18"/>
    <n v="24"/>
  </r>
  <r>
    <n v="309"/>
    <n v="23"/>
    <n v="12"/>
    <n v="2023"/>
    <s v="Sat"/>
    <s v="Dec"/>
    <d v="2023-12-23T00:00:00"/>
    <s v="CUST309"/>
    <x v="1"/>
    <x v="1"/>
    <n v="26"/>
    <x v="0"/>
    <n v="1"/>
    <n v="25"/>
    <n v="25"/>
    <n v="0.375"/>
    <n v="0.5"/>
  </r>
  <r>
    <n v="310"/>
    <n v="12"/>
    <n v="10"/>
    <n v="2023"/>
    <s v="Thu"/>
    <s v="Oct"/>
    <d v="2023-10-12T00:00:00"/>
    <s v="CUST310"/>
    <x v="1"/>
    <x v="1"/>
    <n v="28"/>
    <x v="0"/>
    <n v="1"/>
    <n v="25"/>
    <n v="25"/>
    <n v="0.375"/>
    <n v="0.5"/>
  </r>
  <r>
    <n v="311"/>
    <n v="5"/>
    <n v="12"/>
    <n v="2023"/>
    <s v="Tue"/>
    <s v="Dec"/>
    <d v="2023-12-05T00:00:00"/>
    <s v="CUST311"/>
    <x v="1"/>
    <x v="0"/>
    <n v="32"/>
    <x v="0"/>
    <n v="4"/>
    <n v="25"/>
    <n v="100"/>
    <n v="1.5"/>
    <n v="2"/>
  </r>
  <r>
    <n v="312"/>
    <n v="7"/>
    <n v="9"/>
    <n v="2023"/>
    <s v="Thu"/>
    <s v="Sep"/>
    <d v="2023-09-07T00:00:00"/>
    <s v="CUST312"/>
    <x v="0"/>
    <x v="0"/>
    <n v="41"/>
    <x v="1"/>
    <n v="4"/>
    <n v="30"/>
    <n v="120"/>
    <n v="1.7999999999999998"/>
    <n v="2.4"/>
  </r>
  <r>
    <n v="313"/>
    <n v="21"/>
    <n v="3"/>
    <n v="2023"/>
    <s v="Tue"/>
    <s v="Mar"/>
    <d v="2023-03-21T00:00:00"/>
    <s v="CUST313"/>
    <x v="1"/>
    <x v="2"/>
    <n v="55"/>
    <x v="0"/>
    <n v="3"/>
    <n v="500"/>
    <n v="1500"/>
    <n v="22.5"/>
    <n v="30"/>
  </r>
  <r>
    <n v="314"/>
    <n v="8"/>
    <n v="4"/>
    <n v="2023"/>
    <s v="Sat"/>
    <s v="Apr"/>
    <d v="2023-04-08T00:00:00"/>
    <s v="CUST314"/>
    <x v="0"/>
    <x v="2"/>
    <n v="52"/>
    <x v="1"/>
    <n v="4"/>
    <n v="30"/>
    <n v="120"/>
    <n v="1.7999999999999998"/>
    <n v="2.4"/>
  </r>
  <r>
    <n v="315"/>
    <n v="1"/>
    <n v="6"/>
    <n v="2023"/>
    <s v="Thu"/>
    <s v="Jun"/>
    <d v="2023-06-01T00:00:00"/>
    <s v="CUST315"/>
    <x v="0"/>
    <x v="0"/>
    <n v="47"/>
    <x v="1"/>
    <n v="2"/>
    <n v="30"/>
    <n v="60"/>
    <n v="0.89999999999999991"/>
    <n v="1.2"/>
  </r>
  <r>
    <n v="316"/>
    <n v="22"/>
    <n v="4"/>
    <n v="2023"/>
    <s v="Sat"/>
    <s v="Apr"/>
    <d v="2023-04-22T00:00:00"/>
    <s v="CUST316"/>
    <x v="1"/>
    <x v="0"/>
    <n v="48"/>
    <x v="1"/>
    <n v="2"/>
    <n v="25"/>
    <n v="50"/>
    <n v="0.75"/>
    <n v="1"/>
  </r>
  <r>
    <n v="317"/>
    <n v="30"/>
    <n v="1"/>
    <n v="2023"/>
    <s v="Mon"/>
    <s v="Jan"/>
    <d v="2023-01-30T00:00:00"/>
    <s v="CUST317"/>
    <x v="0"/>
    <x v="1"/>
    <n v="22"/>
    <x v="2"/>
    <n v="3"/>
    <n v="30"/>
    <n v="90"/>
    <n v="1.3499999999999999"/>
    <n v="1.8"/>
  </r>
  <r>
    <n v="318"/>
    <n v="24"/>
    <n v="10"/>
    <n v="2023"/>
    <s v="Tue"/>
    <s v="Oct"/>
    <d v="2023-10-24T00:00:00"/>
    <s v="CUST318"/>
    <x v="0"/>
    <x v="2"/>
    <n v="61"/>
    <x v="1"/>
    <n v="1"/>
    <n v="25"/>
    <n v="25"/>
    <n v="0.375"/>
    <n v="0.5"/>
  </r>
  <r>
    <n v="319"/>
    <n v="5"/>
    <n v="10"/>
    <n v="2023"/>
    <s v="Thu"/>
    <s v="Oct"/>
    <d v="2023-10-05T00:00:00"/>
    <s v="CUST319"/>
    <x v="0"/>
    <x v="0"/>
    <n v="31"/>
    <x v="1"/>
    <n v="1"/>
    <n v="500"/>
    <n v="500"/>
    <n v="7.5"/>
    <n v="10"/>
  </r>
  <r>
    <n v="320"/>
    <n v="1"/>
    <n v="2"/>
    <n v="2023"/>
    <s v="Wed"/>
    <s v="Feb"/>
    <d v="2023-02-01T00:00:00"/>
    <s v="CUST320"/>
    <x v="1"/>
    <x v="1"/>
    <n v="28"/>
    <x v="2"/>
    <n v="4"/>
    <n v="300"/>
    <n v="1200"/>
    <n v="18"/>
    <n v="24"/>
  </r>
  <r>
    <n v="321"/>
    <n v="10"/>
    <n v="6"/>
    <n v="2023"/>
    <s v="Sat"/>
    <s v="Jun"/>
    <d v="2023-06-10T00:00:00"/>
    <s v="CUST321"/>
    <x v="1"/>
    <x v="1"/>
    <n v="26"/>
    <x v="2"/>
    <n v="2"/>
    <n v="25"/>
    <n v="50"/>
    <n v="0.75"/>
    <n v="1"/>
  </r>
  <r>
    <n v="322"/>
    <n v="30"/>
    <n v="1"/>
    <n v="2023"/>
    <s v="Mon"/>
    <s v="Jan"/>
    <d v="2023-01-30T00:00:00"/>
    <s v="CUST322"/>
    <x v="0"/>
    <x v="2"/>
    <n v="51"/>
    <x v="2"/>
    <n v="1"/>
    <n v="500"/>
    <n v="500"/>
    <n v="7.5"/>
    <n v="10"/>
  </r>
  <r>
    <n v="323"/>
    <n v="26"/>
    <n v="1"/>
    <n v="2023"/>
    <s v="Thu"/>
    <s v="Jan"/>
    <d v="2023-01-26T00:00:00"/>
    <s v="CUST323"/>
    <x v="1"/>
    <x v="1"/>
    <n v="29"/>
    <x v="0"/>
    <n v="3"/>
    <n v="300"/>
    <n v="900"/>
    <n v="13.5"/>
    <n v="18"/>
  </r>
  <r>
    <n v="324"/>
    <n v="27"/>
    <n v="10"/>
    <n v="2023"/>
    <s v="Fri"/>
    <s v="Oct"/>
    <d v="2023-10-27T00:00:00"/>
    <s v="CUST324"/>
    <x v="1"/>
    <x v="2"/>
    <n v="52"/>
    <x v="2"/>
    <n v="3"/>
    <n v="50"/>
    <n v="150"/>
    <n v="2.25"/>
    <n v="3"/>
  </r>
  <r>
    <n v="325"/>
    <n v="2"/>
    <n v="9"/>
    <n v="2023"/>
    <s v="Sat"/>
    <s v="Sep"/>
    <d v="2023-09-02T00:00:00"/>
    <s v="CUST325"/>
    <x v="1"/>
    <x v="2"/>
    <n v="52"/>
    <x v="2"/>
    <n v="2"/>
    <n v="25"/>
    <n v="50"/>
    <n v="0.75"/>
    <n v="1"/>
  </r>
  <r>
    <n v="326"/>
    <n v="15"/>
    <n v="9"/>
    <n v="2023"/>
    <s v="Fri"/>
    <s v="Sep"/>
    <d v="2023-09-15T00:00:00"/>
    <s v="CUST326"/>
    <x v="1"/>
    <x v="1"/>
    <n v="18"/>
    <x v="1"/>
    <n v="3"/>
    <n v="25"/>
    <n v="75"/>
    <n v="1.125"/>
    <n v="1.5"/>
  </r>
  <r>
    <n v="327"/>
    <n v="29"/>
    <n v="9"/>
    <n v="2023"/>
    <s v="Fri"/>
    <s v="Sep"/>
    <d v="2023-09-29T00:00:00"/>
    <s v="CUST327"/>
    <x v="0"/>
    <x v="2"/>
    <n v="57"/>
    <x v="2"/>
    <n v="3"/>
    <n v="50"/>
    <n v="150"/>
    <n v="2.25"/>
    <n v="3"/>
  </r>
  <r>
    <n v="328"/>
    <n v="22"/>
    <n v="3"/>
    <n v="2023"/>
    <s v="Wed"/>
    <s v="Mar"/>
    <d v="2023-03-22T00:00:00"/>
    <s v="CUST328"/>
    <x v="0"/>
    <x v="0"/>
    <n v="39"/>
    <x v="0"/>
    <n v="2"/>
    <n v="50"/>
    <n v="100"/>
    <n v="1.5"/>
    <n v="2"/>
  </r>
  <r>
    <n v="329"/>
    <n v="30"/>
    <n v="1"/>
    <n v="2023"/>
    <s v="Mon"/>
    <s v="Jan"/>
    <d v="2023-01-30T00:00:00"/>
    <s v="CUST329"/>
    <x v="1"/>
    <x v="0"/>
    <n v="46"/>
    <x v="2"/>
    <n v="4"/>
    <n v="25"/>
    <n v="100"/>
    <n v="1.5"/>
    <n v="2"/>
  </r>
  <r>
    <n v="330"/>
    <n v="18"/>
    <n v="9"/>
    <n v="2023"/>
    <s v="Mon"/>
    <s v="Sep"/>
    <d v="2023-09-18T00:00:00"/>
    <s v="CUST330"/>
    <x v="1"/>
    <x v="1"/>
    <n v="25"/>
    <x v="0"/>
    <n v="4"/>
    <n v="50"/>
    <n v="200"/>
    <n v="3"/>
    <n v="4"/>
  </r>
  <r>
    <n v="331"/>
    <n v="11"/>
    <n v="2"/>
    <n v="2023"/>
    <s v="Sat"/>
    <s v="Feb"/>
    <d v="2023-02-11T00:00:00"/>
    <s v="CUST331"/>
    <x v="0"/>
    <x v="1"/>
    <n v="28"/>
    <x v="2"/>
    <n v="3"/>
    <n v="30"/>
    <n v="90"/>
    <n v="1.3499999999999999"/>
    <n v="1.8"/>
  </r>
  <r>
    <n v="332"/>
    <n v="6"/>
    <n v="4"/>
    <n v="2023"/>
    <s v="Thu"/>
    <s v="Apr"/>
    <d v="2023-04-06T00:00:00"/>
    <s v="CUST332"/>
    <x v="0"/>
    <x v="2"/>
    <n v="58"/>
    <x v="2"/>
    <n v="4"/>
    <n v="300"/>
    <n v="1200"/>
    <n v="18"/>
    <n v="24"/>
  </r>
  <r>
    <n v="333"/>
    <n v="5"/>
    <n v="2"/>
    <n v="2023"/>
    <s v="Sun"/>
    <s v="Feb"/>
    <d v="2023-02-05T00:00:00"/>
    <s v="CUST333"/>
    <x v="1"/>
    <x v="2"/>
    <n v="54"/>
    <x v="2"/>
    <n v="4"/>
    <n v="300"/>
    <n v="1200"/>
    <n v="18"/>
    <n v="24"/>
  </r>
  <r>
    <n v="334"/>
    <n v="1"/>
    <n v="11"/>
    <n v="2023"/>
    <s v="Wed"/>
    <s v="Nov"/>
    <d v="2023-11-01T00:00:00"/>
    <s v="CUST334"/>
    <x v="0"/>
    <x v="0"/>
    <n v="31"/>
    <x v="2"/>
    <n v="3"/>
    <n v="300"/>
    <n v="900"/>
    <n v="13.5"/>
    <n v="18"/>
  </r>
  <r>
    <n v="335"/>
    <n v="4"/>
    <n v="2"/>
    <n v="2023"/>
    <s v="Sat"/>
    <s v="Feb"/>
    <d v="2023-02-04T00:00:00"/>
    <s v="CUST335"/>
    <x v="1"/>
    <x v="0"/>
    <n v="47"/>
    <x v="0"/>
    <n v="4"/>
    <n v="30"/>
    <n v="120"/>
    <n v="1.7999999999999998"/>
    <n v="2.4"/>
  </r>
  <r>
    <n v="336"/>
    <n v="12"/>
    <n v="12"/>
    <n v="2023"/>
    <s v="Tue"/>
    <s v="Dec"/>
    <d v="2023-12-12T00:00:00"/>
    <s v="CUST336"/>
    <x v="1"/>
    <x v="2"/>
    <n v="52"/>
    <x v="0"/>
    <n v="3"/>
    <n v="50"/>
    <n v="150"/>
    <n v="2.25"/>
    <n v="3"/>
  </r>
  <r>
    <n v="337"/>
    <n v="1"/>
    <n v="5"/>
    <n v="2023"/>
    <s v="Mon"/>
    <s v="May"/>
    <d v="2023-05-01T00:00:00"/>
    <s v="CUST337"/>
    <x v="0"/>
    <x v="0"/>
    <n v="38"/>
    <x v="1"/>
    <n v="1"/>
    <n v="500"/>
    <n v="500"/>
    <n v="7.5"/>
    <n v="10"/>
  </r>
  <r>
    <n v="338"/>
    <n v="26"/>
    <n v="7"/>
    <n v="2023"/>
    <s v="Wed"/>
    <s v="Jul"/>
    <d v="2023-07-26T00:00:00"/>
    <s v="CUST338"/>
    <x v="0"/>
    <x v="2"/>
    <n v="54"/>
    <x v="0"/>
    <n v="2"/>
    <n v="50"/>
    <n v="100"/>
    <n v="1.5"/>
    <n v="2"/>
  </r>
  <r>
    <n v="339"/>
    <n v="3"/>
    <n v="3"/>
    <n v="2023"/>
    <s v="Fri"/>
    <s v="Mar"/>
    <d v="2023-03-03T00:00:00"/>
    <s v="CUST339"/>
    <x v="1"/>
    <x v="1"/>
    <n v="22"/>
    <x v="2"/>
    <n v="2"/>
    <n v="25"/>
    <n v="50"/>
    <n v="0.75"/>
    <n v="1"/>
  </r>
  <r>
    <n v="340"/>
    <n v="19"/>
    <n v="10"/>
    <n v="2023"/>
    <s v="Thu"/>
    <s v="Oct"/>
    <d v="2023-10-19T00:00:00"/>
    <s v="CUST340"/>
    <x v="1"/>
    <x v="0"/>
    <n v="36"/>
    <x v="1"/>
    <n v="4"/>
    <n v="300"/>
    <n v="1200"/>
    <n v="18"/>
    <n v="24"/>
  </r>
  <r>
    <n v="341"/>
    <n v="7"/>
    <n v="5"/>
    <n v="2023"/>
    <s v="Sun"/>
    <s v="May"/>
    <d v="2023-05-07T00:00:00"/>
    <s v="CUST341"/>
    <x v="0"/>
    <x v="0"/>
    <n v="31"/>
    <x v="1"/>
    <n v="4"/>
    <n v="50"/>
    <n v="200"/>
    <n v="3"/>
    <n v="4"/>
  </r>
  <r>
    <n v="342"/>
    <n v="24"/>
    <n v="10"/>
    <n v="2023"/>
    <s v="Tue"/>
    <s v="Oct"/>
    <d v="2023-10-24T00:00:00"/>
    <s v="CUST342"/>
    <x v="1"/>
    <x v="0"/>
    <n v="43"/>
    <x v="1"/>
    <n v="4"/>
    <n v="500"/>
    <n v="2000"/>
    <n v="30"/>
    <n v="40"/>
  </r>
  <r>
    <n v="343"/>
    <n v="1"/>
    <n v="11"/>
    <n v="2023"/>
    <s v="Wed"/>
    <s v="Nov"/>
    <d v="2023-11-01T00:00:00"/>
    <s v="CUST343"/>
    <x v="0"/>
    <x v="1"/>
    <n v="21"/>
    <x v="2"/>
    <n v="2"/>
    <n v="25"/>
    <n v="50"/>
    <n v="0.75"/>
    <n v="1"/>
  </r>
  <r>
    <n v="344"/>
    <n v="21"/>
    <n v="1"/>
    <n v="2023"/>
    <s v="Sat"/>
    <s v="Jan"/>
    <d v="2023-01-21T00:00:00"/>
    <s v="CUST344"/>
    <x v="1"/>
    <x v="0"/>
    <n v="42"/>
    <x v="0"/>
    <n v="1"/>
    <n v="30"/>
    <n v="30"/>
    <n v="0.44999999999999996"/>
    <n v="0.6"/>
  </r>
  <r>
    <n v="345"/>
    <n v="14"/>
    <n v="11"/>
    <n v="2023"/>
    <s v="Tue"/>
    <s v="Nov"/>
    <d v="2023-11-14T00:00:00"/>
    <s v="CUST345"/>
    <x v="0"/>
    <x v="2"/>
    <n v="62"/>
    <x v="2"/>
    <n v="1"/>
    <n v="30"/>
    <n v="30"/>
    <n v="0.44999999999999996"/>
    <n v="0.6"/>
  </r>
  <r>
    <n v="346"/>
    <n v="11"/>
    <n v="2"/>
    <n v="2023"/>
    <s v="Sat"/>
    <s v="Feb"/>
    <d v="2023-02-11T00:00:00"/>
    <s v="CUST346"/>
    <x v="0"/>
    <x v="2"/>
    <n v="59"/>
    <x v="1"/>
    <n v="2"/>
    <n v="500"/>
    <n v="1000"/>
    <n v="15"/>
    <n v="20"/>
  </r>
  <r>
    <n v="347"/>
    <n v="3"/>
    <n v="8"/>
    <n v="2023"/>
    <s v="Thu"/>
    <s v="Aug"/>
    <d v="2023-08-03T00:00:00"/>
    <s v="CUST347"/>
    <x v="0"/>
    <x v="0"/>
    <n v="42"/>
    <x v="2"/>
    <n v="1"/>
    <n v="25"/>
    <n v="25"/>
    <n v="0.375"/>
    <n v="0.5"/>
  </r>
  <r>
    <n v="348"/>
    <n v="3"/>
    <n v="12"/>
    <n v="2023"/>
    <s v="Sun"/>
    <s v="Dec"/>
    <d v="2023-12-03T00:00:00"/>
    <s v="CUST348"/>
    <x v="1"/>
    <x v="0"/>
    <n v="35"/>
    <x v="2"/>
    <n v="2"/>
    <n v="300"/>
    <n v="600"/>
    <n v="9"/>
    <n v="12"/>
  </r>
  <r>
    <n v="349"/>
    <n v="26"/>
    <n v="10"/>
    <n v="2023"/>
    <s v="Thu"/>
    <s v="Oct"/>
    <d v="2023-10-26T00:00:00"/>
    <s v="CUST349"/>
    <x v="1"/>
    <x v="2"/>
    <n v="57"/>
    <x v="0"/>
    <n v="1"/>
    <n v="50"/>
    <n v="50"/>
    <n v="0.75"/>
    <n v="1"/>
  </r>
  <r>
    <n v="350"/>
    <n v="17"/>
    <n v="10"/>
    <n v="2023"/>
    <s v="Tue"/>
    <s v="Oct"/>
    <d v="2023-10-17T00:00:00"/>
    <s v="CUST350"/>
    <x v="0"/>
    <x v="1"/>
    <n v="25"/>
    <x v="0"/>
    <n v="3"/>
    <n v="25"/>
    <n v="75"/>
    <n v="1.125"/>
    <n v="1.5"/>
  </r>
  <r>
    <n v="351"/>
    <n v="25"/>
    <n v="9"/>
    <n v="2023"/>
    <s v="Mon"/>
    <s v="Sep"/>
    <d v="2023-09-25T00:00:00"/>
    <s v="CUST351"/>
    <x v="1"/>
    <x v="2"/>
    <n v="56"/>
    <x v="1"/>
    <n v="3"/>
    <n v="30"/>
    <n v="90"/>
    <n v="1.3499999999999999"/>
    <n v="1.8"/>
  </r>
  <r>
    <n v="352"/>
    <n v="11"/>
    <n v="6"/>
    <n v="2023"/>
    <s v="Sun"/>
    <s v="Jun"/>
    <d v="2023-06-11T00:00:00"/>
    <s v="CUST352"/>
    <x v="0"/>
    <x v="2"/>
    <n v="57"/>
    <x v="2"/>
    <n v="2"/>
    <n v="500"/>
    <n v="1000"/>
    <n v="15"/>
    <n v="20"/>
  </r>
  <r>
    <n v="353"/>
    <n v="14"/>
    <n v="5"/>
    <n v="2023"/>
    <s v="Sun"/>
    <s v="May"/>
    <d v="2023-05-14T00:00:00"/>
    <s v="CUST353"/>
    <x v="0"/>
    <x v="0"/>
    <n v="31"/>
    <x v="2"/>
    <n v="1"/>
    <n v="500"/>
    <n v="500"/>
    <n v="7.5"/>
    <n v="10"/>
  </r>
  <r>
    <n v="354"/>
    <n v="15"/>
    <n v="4"/>
    <n v="2023"/>
    <s v="Sat"/>
    <s v="Apr"/>
    <d v="2023-04-15T00:00:00"/>
    <s v="CUST354"/>
    <x v="1"/>
    <x v="0"/>
    <n v="49"/>
    <x v="0"/>
    <n v="4"/>
    <n v="50"/>
    <n v="200"/>
    <n v="3"/>
    <n v="4"/>
  </r>
  <r>
    <n v="355"/>
    <n v="9"/>
    <n v="12"/>
    <n v="2023"/>
    <s v="Sat"/>
    <s v="Dec"/>
    <d v="2023-12-09T00:00:00"/>
    <s v="CUST355"/>
    <x v="1"/>
    <x v="2"/>
    <n v="55"/>
    <x v="2"/>
    <n v="1"/>
    <n v="500"/>
    <n v="500"/>
    <n v="7.5"/>
    <n v="10"/>
  </r>
  <r>
    <n v="356"/>
    <n v="10"/>
    <n v="6"/>
    <n v="2023"/>
    <s v="Sat"/>
    <s v="Jun"/>
    <d v="2023-06-10T00:00:00"/>
    <s v="CUST356"/>
    <x v="0"/>
    <x v="2"/>
    <n v="50"/>
    <x v="2"/>
    <n v="3"/>
    <n v="500"/>
    <n v="1500"/>
    <n v="22.5"/>
    <n v="30"/>
  </r>
  <r>
    <n v="357"/>
    <n v="3"/>
    <n v="5"/>
    <n v="2023"/>
    <s v="Wed"/>
    <s v="May"/>
    <d v="2023-05-03T00:00:00"/>
    <s v="CUST357"/>
    <x v="1"/>
    <x v="0"/>
    <n v="40"/>
    <x v="2"/>
    <n v="3"/>
    <n v="25"/>
    <n v="75"/>
    <n v="1.125"/>
    <n v="1.5"/>
  </r>
  <r>
    <n v="358"/>
    <n v="16"/>
    <n v="5"/>
    <n v="2023"/>
    <s v="Tue"/>
    <s v="May"/>
    <d v="2023-05-16T00:00:00"/>
    <s v="CUST358"/>
    <x v="1"/>
    <x v="0"/>
    <n v="32"/>
    <x v="0"/>
    <n v="1"/>
    <n v="300"/>
    <n v="300"/>
    <n v="4.5"/>
    <n v="6"/>
  </r>
  <r>
    <n v="359"/>
    <n v="22"/>
    <n v="7"/>
    <n v="2023"/>
    <s v="Sat"/>
    <s v="Jul"/>
    <d v="2023-07-22T00:00:00"/>
    <s v="CUST359"/>
    <x v="0"/>
    <x v="2"/>
    <n v="50"/>
    <x v="1"/>
    <n v="1"/>
    <n v="50"/>
    <n v="50"/>
    <n v="0.75"/>
    <n v="1"/>
  </r>
  <r>
    <n v="360"/>
    <n v="9"/>
    <n v="3"/>
    <n v="2023"/>
    <s v="Thu"/>
    <s v="Mar"/>
    <d v="2023-03-09T00:00:00"/>
    <s v="CUST360"/>
    <x v="0"/>
    <x v="0"/>
    <n v="42"/>
    <x v="1"/>
    <n v="4"/>
    <n v="25"/>
    <n v="100"/>
    <n v="1.5"/>
    <n v="2"/>
  </r>
  <r>
    <n v="361"/>
    <n v="10"/>
    <n v="12"/>
    <n v="2023"/>
    <s v="Sun"/>
    <s v="Dec"/>
    <d v="2023-12-10T00:00:00"/>
    <s v="CUST361"/>
    <x v="1"/>
    <x v="0"/>
    <n v="34"/>
    <x v="2"/>
    <n v="4"/>
    <n v="300"/>
    <n v="1200"/>
    <n v="18"/>
    <n v="24"/>
  </r>
  <r>
    <n v="362"/>
    <n v="27"/>
    <n v="11"/>
    <n v="2023"/>
    <s v="Mon"/>
    <s v="Nov"/>
    <d v="2023-11-27T00:00:00"/>
    <s v="CUST362"/>
    <x v="0"/>
    <x v="2"/>
    <n v="50"/>
    <x v="1"/>
    <n v="1"/>
    <n v="25"/>
    <n v="25"/>
    <n v="0.375"/>
    <n v="0.5"/>
  </r>
  <r>
    <n v="363"/>
    <n v="3"/>
    <n v="6"/>
    <n v="2023"/>
    <s v="Sat"/>
    <s v="Jun"/>
    <d v="2023-06-03T00:00:00"/>
    <s v="CUST363"/>
    <x v="0"/>
    <x v="2"/>
    <n v="64"/>
    <x v="0"/>
    <n v="1"/>
    <n v="25"/>
    <n v="25"/>
    <n v="0.375"/>
    <n v="0.5"/>
  </r>
  <r>
    <n v="364"/>
    <n v="23"/>
    <n v="8"/>
    <n v="2023"/>
    <s v="Wed"/>
    <s v="Aug"/>
    <d v="2023-08-23T00:00:00"/>
    <s v="CUST364"/>
    <x v="1"/>
    <x v="1"/>
    <n v="19"/>
    <x v="0"/>
    <n v="1"/>
    <n v="500"/>
    <n v="500"/>
    <n v="7.5"/>
    <n v="10"/>
  </r>
  <r>
    <n v="365"/>
    <n v="11"/>
    <n v="6"/>
    <n v="2023"/>
    <s v="Sun"/>
    <s v="Jun"/>
    <d v="2023-06-11T00:00:00"/>
    <s v="CUST365"/>
    <x v="0"/>
    <x v="0"/>
    <n v="31"/>
    <x v="1"/>
    <n v="1"/>
    <n v="300"/>
    <n v="300"/>
    <n v="4.5"/>
    <n v="6"/>
  </r>
  <r>
    <n v="366"/>
    <n v="7"/>
    <n v="2"/>
    <n v="2023"/>
    <s v="Tue"/>
    <s v="Feb"/>
    <d v="2023-02-07T00:00:00"/>
    <s v="CUST366"/>
    <x v="0"/>
    <x v="2"/>
    <n v="57"/>
    <x v="1"/>
    <n v="2"/>
    <n v="50"/>
    <n v="100"/>
    <n v="1.5"/>
    <n v="2"/>
  </r>
  <r>
    <n v="367"/>
    <n v="5"/>
    <n v="1"/>
    <n v="2023"/>
    <s v="Thu"/>
    <s v="Jan"/>
    <d v="2023-01-05T00:00:00"/>
    <s v="CUST367"/>
    <x v="1"/>
    <x v="2"/>
    <n v="57"/>
    <x v="2"/>
    <n v="1"/>
    <n v="50"/>
    <n v="50"/>
    <n v="0.75"/>
    <n v="1"/>
  </r>
  <r>
    <n v="368"/>
    <n v="23"/>
    <n v="8"/>
    <n v="2023"/>
    <s v="Wed"/>
    <s v="Aug"/>
    <d v="2023-08-23T00:00:00"/>
    <s v="CUST368"/>
    <x v="1"/>
    <x v="2"/>
    <n v="56"/>
    <x v="1"/>
    <n v="4"/>
    <n v="300"/>
    <n v="1200"/>
    <n v="18"/>
    <n v="24"/>
  </r>
  <r>
    <n v="369"/>
    <n v="15"/>
    <n v="11"/>
    <n v="2023"/>
    <s v="Wed"/>
    <s v="Nov"/>
    <d v="2023-11-15T00:00:00"/>
    <s v="CUST369"/>
    <x v="0"/>
    <x v="1"/>
    <n v="23"/>
    <x v="2"/>
    <n v="3"/>
    <n v="500"/>
    <n v="1500"/>
    <n v="22.5"/>
    <n v="30"/>
  </r>
  <r>
    <n v="370"/>
    <n v="16"/>
    <n v="10"/>
    <n v="2023"/>
    <s v="Mon"/>
    <s v="Oct"/>
    <d v="2023-10-16T00:00:00"/>
    <s v="CUST370"/>
    <x v="0"/>
    <x v="1"/>
    <n v="23"/>
    <x v="2"/>
    <n v="2"/>
    <n v="30"/>
    <n v="60"/>
    <n v="0.89999999999999991"/>
    <n v="1.2"/>
  </r>
  <r>
    <n v="371"/>
    <n v="21"/>
    <n v="2"/>
    <n v="2023"/>
    <s v="Tue"/>
    <s v="Feb"/>
    <d v="2023-02-21T00:00:00"/>
    <s v="CUST371"/>
    <x v="1"/>
    <x v="1"/>
    <n v="20"/>
    <x v="0"/>
    <n v="1"/>
    <n v="25"/>
    <n v="25"/>
    <n v="0.375"/>
    <n v="0.5"/>
  </r>
  <r>
    <n v="372"/>
    <n v="7"/>
    <n v="2"/>
    <n v="2023"/>
    <s v="Tue"/>
    <s v="Feb"/>
    <d v="2023-02-07T00:00:00"/>
    <s v="CUST372"/>
    <x v="1"/>
    <x v="1"/>
    <n v="24"/>
    <x v="0"/>
    <n v="3"/>
    <n v="500"/>
    <n v="1500"/>
    <n v="22.5"/>
    <n v="30"/>
  </r>
  <r>
    <n v="373"/>
    <n v="3"/>
    <n v="10"/>
    <n v="2023"/>
    <s v="Tue"/>
    <s v="Oct"/>
    <d v="2023-10-03T00:00:00"/>
    <s v="CUST373"/>
    <x v="1"/>
    <x v="1"/>
    <n v="25"/>
    <x v="0"/>
    <n v="2"/>
    <n v="300"/>
    <n v="600"/>
    <n v="9"/>
    <n v="12"/>
  </r>
  <r>
    <n v="374"/>
    <n v="20"/>
    <n v="4"/>
    <n v="2023"/>
    <s v="Thu"/>
    <s v="Apr"/>
    <d v="2023-04-20T00:00:00"/>
    <s v="CUST374"/>
    <x v="1"/>
    <x v="2"/>
    <n v="59"/>
    <x v="0"/>
    <n v="3"/>
    <n v="25"/>
    <n v="75"/>
    <n v="1.125"/>
    <n v="1.5"/>
  </r>
  <r>
    <n v="375"/>
    <n v="17"/>
    <n v="9"/>
    <n v="2023"/>
    <s v="Sun"/>
    <s v="Sep"/>
    <d v="2023-09-17T00:00:00"/>
    <s v="CUST375"/>
    <x v="0"/>
    <x v="0"/>
    <n v="32"/>
    <x v="1"/>
    <n v="1"/>
    <n v="50"/>
    <n v="50"/>
    <n v="0.75"/>
    <n v="1"/>
  </r>
  <r>
    <n v="376"/>
    <n v="16"/>
    <n v="5"/>
    <n v="2023"/>
    <s v="Tue"/>
    <s v="May"/>
    <d v="2023-05-16T00:00:00"/>
    <s v="CUST376"/>
    <x v="1"/>
    <x v="2"/>
    <n v="64"/>
    <x v="0"/>
    <n v="1"/>
    <n v="30"/>
    <n v="30"/>
    <n v="0.44999999999999996"/>
    <n v="0.6"/>
  </r>
  <r>
    <n v="377"/>
    <n v="9"/>
    <n v="3"/>
    <n v="2023"/>
    <s v="Thu"/>
    <s v="Mar"/>
    <d v="2023-03-09T00:00:00"/>
    <s v="CUST377"/>
    <x v="1"/>
    <x v="0"/>
    <n v="46"/>
    <x v="1"/>
    <n v="4"/>
    <n v="50"/>
    <n v="200"/>
    <n v="3"/>
    <n v="4"/>
  </r>
  <r>
    <n v="378"/>
    <n v="28"/>
    <n v="6"/>
    <n v="2023"/>
    <s v="Wed"/>
    <s v="Jun"/>
    <d v="2023-06-28T00:00:00"/>
    <s v="CUST378"/>
    <x v="0"/>
    <x v="2"/>
    <n v="50"/>
    <x v="0"/>
    <n v="1"/>
    <n v="300"/>
    <n v="300"/>
    <n v="4.5"/>
    <n v="6"/>
  </r>
  <r>
    <n v="379"/>
    <n v="5"/>
    <n v="2"/>
    <n v="2023"/>
    <s v="Sun"/>
    <s v="Feb"/>
    <d v="2023-02-05T00:00:00"/>
    <s v="CUST379"/>
    <x v="1"/>
    <x v="0"/>
    <n v="47"/>
    <x v="1"/>
    <n v="1"/>
    <n v="25"/>
    <n v="25"/>
    <n v="0.375"/>
    <n v="0.5"/>
  </r>
  <r>
    <n v="380"/>
    <n v="6"/>
    <n v="5"/>
    <n v="2023"/>
    <s v="Sat"/>
    <s v="May"/>
    <d v="2023-05-06T00:00:00"/>
    <s v="CUST380"/>
    <x v="0"/>
    <x v="2"/>
    <n v="56"/>
    <x v="2"/>
    <n v="2"/>
    <n v="300"/>
    <n v="600"/>
    <n v="9"/>
    <n v="12"/>
  </r>
  <r>
    <n v="381"/>
    <n v="9"/>
    <n v="7"/>
    <n v="2023"/>
    <s v="Sun"/>
    <s v="Jul"/>
    <d v="2023-07-09T00:00:00"/>
    <s v="CUST381"/>
    <x v="1"/>
    <x v="0"/>
    <n v="44"/>
    <x v="1"/>
    <n v="4"/>
    <n v="25"/>
    <n v="100"/>
    <n v="1.5"/>
    <n v="2"/>
  </r>
  <r>
    <n v="382"/>
    <n v="26"/>
    <n v="5"/>
    <n v="2023"/>
    <s v="Fri"/>
    <s v="May"/>
    <d v="2023-05-26T00:00:00"/>
    <s v="CUST382"/>
    <x v="1"/>
    <x v="2"/>
    <n v="53"/>
    <x v="1"/>
    <n v="2"/>
    <n v="500"/>
    <n v="1000"/>
    <n v="15"/>
    <n v="20"/>
  </r>
  <r>
    <n v="383"/>
    <n v="22"/>
    <n v="3"/>
    <n v="2023"/>
    <s v="Wed"/>
    <s v="Mar"/>
    <d v="2023-03-22T00:00:00"/>
    <s v="CUST383"/>
    <x v="1"/>
    <x v="0"/>
    <n v="46"/>
    <x v="0"/>
    <n v="3"/>
    <n v="30"/>
    <n v="90"/>
    <n v="1.3499999999999999"/>
    <n v="1.8"/>
  </r>
  <r>
    <n v="384"/>
    <n v="13"/>
    <n v="8"/>
    <n v="2023"/>
    <s v="Sun"/>
    <s v="Aug"/>
    <d v="2023-08-13T00:00:00"/>
    <s v="CUST384"/>
    <x v="0"/>
    <x v="2"/>
    <n v="55"/>
    <x v="1"/>
    <n v="1"/>
    <n v="500"/>
    <n v="500"/>
    <n v="7.5"/>
    <n v="10"/>
  </r>
  <r>
    <n v="385"/>
    <n v="6"/>
    <n v="10"/>
    <n v="2023"/>
    <s v="Fri"/>
    <s v="Oct"/>
    <d v="2023-10-06T00:00:00"/>
    <s v="CUST385"/>
    <x v="0"/>
    <x v="2"/>
    <n v="50"/>
    <x v="2"/>
    <n v="3"/>
    <n v="500"/>
    <n v="1500"/>
    <n v="22.5"/>
    <n v="30"/>
  </r>
  <r>
    <n v="386"/>
    <n v="27"/>
    <n v="12"/>
    <n v="2023"/>
    <s v="Wed"/>
    <s v="Dec"/>
    <d v="2023-12-27T00:00:00"/>
    <s v="CUST386"/>
    <x v="1"/>
    <x v="2"/>
    <n v="54"/>
    <x v="2"/>
    <n v="2"/>
    <n v="300"/>
    <n v="600"/>
    <n v="9"/>
    <n v="12"/>
  </r>
  <r>
    <n v="387"/>
    <n v="4"/>
    <n v="6"/>
    <n v="2023"/>
    <s v="Sun"/>
    <s v="Jun"/>
    <d v="2023-06-04T00:00:00"/>
    <s v="CUST387"/>
    <x v="0"/>
    <x v="0"/>
    <n v="44"/>
    <x v="0"/>
    <n v="1"/>
    <n v="30"/>
    <n v="30"/>
    <n v="0.44999999999999996"/>
    <n v="0.6"/>
  </r>
  <r>
    <n v="388"/>
    <n v="10"/>
    <n v="11"/>
    <n v="2023"/>
    <s v="Fri"/>
    <s v="Nov"/>
    <d v="2023-11-10T00:00:00"/>
    <s v="CUST388"/>
    <x v="0"/>
    <x v="2"/>
    <n v="50"/>
    <x v="2"/>
    <n v="1"/>
    <n v="25"/>
    <n v="25"/>
    <n v="0.375"/>
    <n v="0.5"/>
  </r>
  <r>
    <n v="389"/>
    <n v="1"/>
    <n v="12"/>
    <n v="2023"/>
    <s v="Fri"/>
    <s v="Dec"/>
    <d v="2023-12-01T00:00:00"/>
    <s v="CUST389"/>
    <x v="0"/>
    <x v="1"/>
    <n v="21"/>
    <x v="1"/>
    <n v="2"/>
    <n v="25"/>
    <n v="50"/>
    <n v="0.75"/>
    <n v="1"/>
  </r>
  <r>
    <n v="390"/>
    <n v="28"/>
    <n v="9"/>
    <n v="2023"/>
    <s v="Thu"/>
    <s v="Sep"/>
    <d v="2023-09-28T00:00:00"/>
    <s v="CUST390"/>
    <x v="0"/>
    <x v="0"/>
    <n v="39"/>
    <x v="2"/>
    <n v="2"/>
    <n v="50"/>
    <n v="100"/>
    <n v="1.5"/>
    <n v="2"/>
  </r>
  <r>
    <n v="391"/>
    <n v="5"/>
    <n v="1"/>
    <n v="2023"/>
    <s v="Thu"/>
    <s v="Jan"/>
    <d v="2023-01-05T00:00:00"/>
    <s v="CUST391"/>
    <x v="0"/>
    <x v="1"/>
    <n v="19"/>
    <x v="0"/>
    <n v="2"/>
    <n v="25"/>
    <n v="50"/>
    <n v="0.75"/>
    <n v="1"/>
  </r>
  <r>
    <n v="392"/>
    <n v="8"/>
    <n v="12"/>
    <n v="2023"/>
    <s v="Fri"/>
    <s v="Dec"/>
    <d v="2023-12-08T00:00:00"/>
    <s v="CUST392"/>
    <x v="0"/>
    <x v="1"/>
    <n v="27"/>
    <x v="1"/>
    <n v="2"/>
    <n v="300"/>
    <n v="600"/>
    <n v="9"/>
    <n v="12"/>
  </r>
  <r>
    <n v="393"/>
    <n v="11"/>
    <n v="10"/>
    <n v="2023"/>
    <s v="Wed"/>
    <s v="Oct"/>
    <d v="2023-10-11T00:00:00"/>
    <s v="CUST393"/>
    <x v="1"/>
    <x v="1"/>
    <n v="22"/>
    <x v="0"/>
    <n v="2"/>
    <n v="500"/>
    <n v="1000"/>
    <n v="15"/>
    <n v="20"/>
  </r>
  <r>
    <n v="394"/>
    <n v="3"/>
    <n v="6"/>
    <n v="2023"/>
    <s v="Sat"/>
    <s v="Jun"/>
    <d v="2023-06-03T00:00:00"/>
    <s v="CUST394"/>
    <x v="1"/>
    <x v="1"/>
    <n v="27"/>
    <x v="1"/>
    <n v="1"/>
    <n v="500"/>
    <n v="500"/>
    <n v="7.5"/>
    <n v="10"/>
  </r>
  <r>
    <n v="395"/>
    <n v="6"/>
    <n v="12"/>
    <n v="2023"/>
    <s v="Wed"/>
    <s v="Dec"/>
    <d v="2023-12-06T00:00:00"/>
    <s v="CUST395"/>
    <x v="0"/>
    <x v="2"/>
    <n v="50"/>
    <x v="2"/>
    <n v="2"/>
    <n v="500"/>
    <n v="1000"/>
    <n v="15"/>
    <n v="20"/>
  </r>
  <r>
    <n v="396"/>
    <n v="23"/>
    <n v="2"/>
    <n v="2023"/>
    <s v="Thu"/>
    <s v="Feb"/>
    <d v="2023-02-23T00:00:00"/>
    <s v="CUST396"/>
    <x v="1"/>
    <x v="2"/>
    <n v="55"/>
    <x v="0"/>
    <n v="1"/>
    <n v="30"/>
    <n v="30"/>
    <n v="0.44999999999999996"/>
    <n v="0.6"/>
  </r>
  <r>
    <n v="397"/>
    <n v="10"/>
    <n v="3"/>
    <n v="2023"/>
    <s v="Fri"/>
    <s v="Mar"/>
    <d v="2023-03-10T00:00:00"/>
    <s v="CUST397"/>
    <x v="1"/>
    <x v="0"/>
    <n v="30"/>
    <x v="0"/>
    <n v="1"/>
    <n v="25"/>
    <n v="25"/>
    <n v="0.375"/>
    <n v="0.5"/>
  </r>
  <r>
    <n v="398"/>
    <n v="16"/>
    <n v="5"/>
    <n v="2023"/>
    <s v="Tue"/>
    <s v="May"/>
    <d v="2023-05-16T00:00:00"/>
    <s v="CUST398"/>
    <x v="1"/>
    <x v="0"/>
    <n v="48"/>
    <x v="1"/>
    <n v="2"/>
    <n v="300"/>
    <n v="600"/>
    <n v="9"/>
    <n v="12"/>
  </r>
  <r>
    <n v="399"/>
    <n v="1"/>
    <n v="3"/>
    <n v="2023"/>
    <s v="Wed"/>
    <s v="Mar"/>
    <d v="2023-03-01T00:00:00"/>
    <s v="CUST399"/>
    <x v="1"/>
    <x v="2"/>
    <n v="64"/>
    <x v="0"/>
    <n v="2"/>
    <n v="30"/>
    <n v="60"/>
    <n v="0.89999999999999991"/>
    <n v="1.2"/>
  </r>
  <r>
    <n v="400"/>
    <n v="24"/>
    <n v="2"/>
    <n v="2023"/>
    <s v="Fri"/>
    <s v="Feb"/>
    <d v="2023-02-24T00:00:00"/>
    <s v="CUST400"/>
    <x v="0"/>
    <x v="2"/>
    <n v="53"/>
    <x v="1"/>
    <n v="4"/>
    <n v="50"/>
    <n v="200"/>
    <n v="3"/>
    <n v="4"/>
  </r>
  <r>
    <n v="401"/>
    <n v="11"/>
    <n v="10"/>
    <n v="2023"/>
    <s v="Wed"/>
    <s v="Oct"/>
    <d v="2023-10-11T00:00:00"/>
    <s v="CUST401"/>
    <x v="1"/>
    <x v="2"/>
    <n v="62"/>
    <x v="1"/>
    <n v="1"/>
    <n v="300"/>
    <n v="300"/>
    <n v="4.5"/>
    <n v="6"/>
  </r>
  <r>
    <n v="402"/>
    <n v="21"/>
    <n v="3"/>
    <n v="2023"/>
    <s v="Tue"/>
    <s v="Mar"/>
    <d v="2023-03-21T00:00:00"/>
    <s v="CUST402"/>
    <x v="1"/>
    <x v="0"/>
    <n v="41"/>
    <x v="1"/>
    <n v="2"/>
    <n v="300"/>
    <n v="600"/>
    <n v="9"/>
    <n v="12"/>
  </r>
  <r>
    <n v="403"/>
    <n v="20"/>
    <n v="5"/>
    <n v="2023"/>
    <s v="Sat"/>
    <s v="May"/>
    <d v="2023-05-20T00:00:00"/>
    <s v="CUST403"/>
    <x v="0"/>
    <x v="0"/>
    <n v="32"/>
    <x v="1"/>
    <n v="2"/>
    <n v="300"/>
    <n v="600"/>
    <n v="9"/>
    <n v="12"/>
  </r>
  <r>
    <n v="404"/>
    <n v="25"/>
    <n v="5"/>
    <n v="2023"/>
    <s v="Thu"/>
    <s v="May"/>
    <d v="2023-05-25T00:00:00"/>
    <s v="CUST404"/>
    <x v="0"/>
    <x v="0"/>
    <n v="46"/>
    <x v="2"/>
    <n v="2"/>
    <n v="500"/>
    <n v="1000"/>
    <n v="15"/>
    <n v="20"/>
  </r>
  <r>
    <n v="405"/>
    <n v="6"/>
    <n v="11"/>
    <n v="2023"/>
    <s v="Mon"/>
    <s v="Nov"/>
    <d v="2023-11-06T00:00:00"/>
    <s v="CUST405"/>
    <x v="1"/>
    <x v="1"/>
    <n v="25"/>
    <x v="1"/>
    <n v="4"/>
    <n v="300"/>
    <n v="1200"/>
    <n v="18"/>
    <n v="24"/>
  </r>
  <r>
    <n v="406"/>
    <n v="18"/>
    <n v="4"/>
    <n v="2023"/>
    <s v="Tue"/>
    <s v="Apr"/>
    <d v="2023-04-18T00:00:00"/>
    <s v="CUST406"/>
    <x v="1"/>
    <x v="1"/>
    <n v="22"/>
    <x v="0"/>
    <n v="4"/>
    <n v="25"/>
    <n v="100"/>
    <n v="1.5"/>
    <n v="2"/>
  </r>
  <r>
    <n v="407"/>
    <n v="25"/>
    <n v="6"/>
    <n v="2023"/>
    <s v="Sun"/>
    <s v="Jun"/>
    <d v="2023-06-25T00:00:00"/>
    <s v="CUST407"/>
    <x v="1"/>
    <x v="0"/>
    <n v="46"/>
    <x v="2"/>
    <n v="3"/>
    <n v="300"/>
    <n v="900"/>
    <n v="13.5"/>
    <n v="18"/>
  </r>
  <r>
    <n v="408"/>
    <n v="15"/>
    <n v="4"/>
    <n v="2023"/>
    <s v="Sat"/>
    <s v="Apr"/>
    <d v="2023-04-15T00:00:00"/>
    <s v="CUST408"/>
    <x v="1"/>
    <x v="2"/>
    <n v="64"/>
    <x v="0"/>
    <n v="1"/>
    <n v="500"/>
    <n v="500"/>
    <n v="7.5"/>
    <n v="10"/>
  </r>
  <r>
    <n v="409"/>
    <n v="18"/>
    <n v="12"/>
    <n v="2023"/>
    <s v="Mon"/>
    <s v="Dec"/>
    <d v="2023-12-18T00:00:00"/>
    <s v="CUST409"/>
    <x v="1"/>
    <x v="1"/>
    <n v="21"/>
    <x v="2"/>
    <n v="3"/>
    <n v="300"/>
    <n v="900"/>
    <n v="13.5"/>
    <n v="18"/>
  </r>
  <r>
    <n v="410"/>
    <n v="21"/>
    <n v="11"/>
    <n v="2023"/>
    <s v="Tue"/>
    <s v="Nov"/>
    <d v="2023-11-21T00:00:00"/>
    <s v="CUST410"/>
    <x v="1"/>
    <x v="1"/>
    <n v="29"/>
    <x v="1"/>
    <n v="2"/>
    <n v="50"/>
    <n v="100"/>
    <n v="1.5"/>
    <n v="2"/>
  </r>
  <r>
    <n v="411"/>
    <n v="16"/>
    <n v="5"/>
    <n v="2023"/>
    <s v="Tue"/>
    <s v="May"/>
    <d v="2023-05-16T00:00:00"/>
    <s v="CUST411"/>
    <x v="0"/>
    <x v="2"/>
    <n v="62"/>
    <x v="2"/>
    <n v="4"/>
    <n v="50"/>
    <n v="200"/>
    <n v="3"/>
    <n v="4"/>
  </r>
  <r>
    <n v="412"/>
    <n v="16"/>
    <n v="9"/>
    <n v="2023"/>
    <s v="Sat"/>
    <s v="Sep"/>
    <d v="2023-09-16T00:00:00"/>
    <s v="CUST412"/>
    <x v="1"/>
    <x v="1"/>
    <n v="19"/>
    <x v="2"/>
    <n v="4"/>
    <n v="500"/>
    <n v="2000"/>
    <n v="30"/>
    <n v="40"/>
  </r>
  <r>
    <n v="413"/>
    <n v="8"/>
    <n v="9"/>
    <n v="2023"/>
    <s v="Fri"/>
    <s v="Sep"/>
    <d v="2023-09-08T00:00:00"/>
    <s v="CUST413"/>
    <x v="1"/>
    <x v="0"/>
    <n v="44"/>
    <x v="0"/>
    <n v="3"/>
    <n v="25"/>
    <n v="75"/>
    <n v="1.125"/>
    <n v="1.5"/>
  </r>
  <r>
    <n v="414"/>
    <n v="9"/>
    <n v="5"/>
    <n v="2023"/>
    <s v="Tue"/>
    <s v="May"/>
    <d v="2023-05-09T00:00:00"/>
    <s v="CUST414"/>
    <x v="0"/>
    <x v="0"/>
    <n v="48"/>
    <x v="0"/>
    <n v="4"/>
    <n v="25"/>
    <n v="100"/>
    <n v="1.5"/>
    <n v="2"/>
  </r>
  <r>
    <n v="415"/>
    <n v="27"/>
    <n v="1"/>
    <n v="2023"/>
    <s v="Fri"/>
    <s v="Jan"/>
    <d v="2023-01-27T00:00:00"/>
    <s v="CUST415"/>
    <x v="0"/>
    <x v="2"/>
    <n v="53"/>
    <x v="1"/>
    <n v="2"/>
    <n v="30"/>
    <n v="60"/>
    <n v="0.89999999999999991"/>
    <n v="1.2"/>
  </r>
  <r>
    <n v="416"/>
    <n v="17"/>
    <n v="2"/>
    <n v="2023"/>
    <s v="Fri"/>
    <s v="Feb"/>
    <d v="2023-02-17T00:00:00"/>
    <s v="CUST416"/>
    <x v="0"/>
    <x v="2"/>
    <n v="53"/>
    <x v="2"/>
    <n v="4"/>
    <n v="500"/>
    <n v="2000"/>
    <n v="30"/>
    <n v="40"/>
  </r>
  <r>
    <n v="417"/>
    <n v="21"/>
    <n v="11"/>
    <n v="2023"/>
    <s v="Tue"/>
    <s v="Nov"/>
    <d v="2023-11-21T00:00:00"/>
    <s v="CUST417"/>
    <x v="0"/>
    <x v="0"/>
    <n v="43"/>
    <x v="2"/>
    <n v="3"/>
    <n v="300"/>
    <n v="900"/>
    <n v="13.5"/>
    <n v="18"/>
  </r>
  <r>
    <n v="418"/>
    <n v="5"/>
    <n v="8"/>
    <n v="2023"/>
    <s v="Sat"/>
    <s v="Aug"/>
    <d v="2023-08-05T00:00:00"/>
    <s v="CUST418"/>
    <x v="1"/>
    <x v="2"/>
    <n v="60"/>
    <x v="2"/>
    <n v="2"/>
    <n v="500"/>
    <n v="1000"/>
    <n v="15"/>
    <n v="20"/>
  </r>
  <r>
    <n v="419"/>
    <n v="22"/>
    <n v="5"/>
    <n v="2023"/>
    <s v="Mon"/>
    <s v="May"/>
    <d v="2023-05-22T00:00:00"/>
    <s v="CUST419"/>
    <x v="1"/>
    <x v="0"/>
    <n v="44"/>
    <x v="1"/>
    <n v="3"/>
    <n v="30"/>
    <n v="90"/>
    <n v="1.3499999999999999"/>
    <n v="1.8"/>
  </r>
  <r>
    <n v="420"/>
    <n v="23"/>
    <n v="1"/>
    <n v="2023"/>
    <s v="Mon"/>
    <s v="Jan"/>
    <d v="2023-01-23T00:00:00"/>
    <s v="CUST420"/>
    <x v="1"/>
    <x v="1"/>
    <n v="22"/>
    <x v="1"/>
    <n v="4"/>
    <n v="500"/>
    <n v="2000"/>
    <n v="30"/>
    <n v="40"/>
  </r>
  <r>
    <n v="421"/>
    <n v="2"/>
    <n v="1"/>
    <n v="2023"/>
    <s v="Mon"/>
    <s v="Jan"/>
    <d v="2023-01-02T00:00:00"/>
    <s v="CUST421"/>
    <x v="1"/>
    <x v="0"/>
    <n v="37"/>
    <x v="1"/>
    <n v="3"/>
    <n v="500"/>
    <n v="1500"/>
    <n v="22.5"/>
    <n v="30"/>
  </r>
  <r>
    <n v="422"/>
    <n v="20"/>
    <n v="6"/>
    <n v="2023"/>
    <s v="Tue"/>
    <s v="Jun"/>
    <d v="2023-06-20T00:00:00"/>
    <s v="CUST422"/>
    <x v="1"/>
    <x v="1"/>
    <n v="28"/>
    <x v="1"/>
    <n v="3"/>
    <n v="30"/>
    <n v="90"/>
    <n v="1.3499999999999999"/>
    <n v="1.8"/>
  </r>
  <r>
    <n v="423"/>
    <n v="8"/>
    <n v="3"/>
    <n v="2023"/>
    <s v="Wed"/>
    <s v="Mar"/>
    <d v="2023-03-08T00:00:00"/>
    <s v="CUST423"/>
    <x v="1"/>
    <x v="1"/>
    <n v="27"/>
    <x v="1"/>
    <n v="1"/>
    <n v="25"/>
    <n v="25"/>
    <n v="0.375"/>
    <n v="0.5"/>
  </r>
  <r>
    <n v="424"/>
    <n v="23"/>
    <n v="11"/>
    <n v="2023"/>
    <s v="Thu"/>
    <s v="Nov"/>
    <d v="2023-11-23T00:00:00"/>
    <s v="CUST424"/>
    <x v="0"/>
    <x v="2"/>
    <n v="57"/>
    <x v="0"/>
    <n v="4"/>
    <n v="300"/>
    <n v="1200"/>
    <n v="18"/>
    <n v="24"/>
  </r>
  <r>
    <n v="425"/>
    <n v="15"/>
    <n v="5"/>
    <n v="2023"/>
    <s v="Mon"/>
    <s v="May"/>
    <d v="2023-05-15T00:00:00"/>
    <s v="CUST425"/>
    <x v="1"/>
    <x v="2"/>
    <n v="55"/>
    <x v="2"/>
    <n v="4"/>
    <n v="30"/>
    <n v="120"/>
    <n v="1.7999999999999998"/>
    <n v="2.4"/>
  </r>
  <r>
    <n v="426"/>
    <n v="24"/>
    <n v="3"/>
    <n v="2023"/>
    <s v="Fri"/>
    <s v="Mar"/>
    <d v="2023-03-24T00:00:00"/>
    <s v="CUST426"/>
    <x v="0"/>
    <x v="1"/>
    <n v="23"/>
    <x v="2"/>
    <n v="3"/>
    <n v="50"/>
    <n v="150"/>
    <n v="2.25"/>
    <n v="3"/>
  </r>
  <r>
    <n v="427"/>
    <n v="15"/>
    <n v="8"/>
    <n v="2023"/>
    <s v="Tue"/>
    <s v="Aug"/>
    <d v="2023-08-15T00:00:00"/>
    <s v="CUST427"/>
    <x v="0"/>
    <x v="1"/>
    <n v="25"/>
    <x v="2"/>
    <n v="1"/>
    <n v="25"/>
    <n v="25"/>
    <n v="0.375"/>
    <n v="0.5"/>
  </r>
  <r>
    <n v="428"/>
    <n v="10"/>
    <n v="10"/>
    <n v="2023"/>
    <s v="Tue"/>
    <s v="Oct"/>
    <d v="2023-10-10T00:00:00"/>
    <s v="CUST428"/>
    <x v="1"/>
    <x v="0"/>
    <n v="40"/>
    <x v="2"/>
    <n v="4"/>
    <n v="50"/>
    <n v="200"/>
    <n v="3"/>
    <n v="4"/>
  </r>
  <r>
    <n v="429"/>
    <n v="28"/>
    <n v="12"/>
    <n v="2023"/>
    <s v="Thu"/>
    <s v="Dec"/>
    <d v="2023-12-28T00:00:00"/>
    <s v="CUST429"/>
    <x v="0"/>
    <x v="2"/>
    <n v="64"/>
    <x v="2"/>
    <n v="2"/>
    <n v="25"/>
    <n v="50"/>
    <n v="0.75"/>
    <n v="1"/>
  </r>
  <r>
    <n v="430"/>
    <n v="7"/>
    <n v="8"/>
    <n v="2023"/>
    <s v="Mon"/>
    <s v="Aug"/>
    <d v="2023-08-07T00:00:00"/>
    <s v="CUST430"/>
    <x v="1"/>
    <x v="0"/>
    <n v="43"/>
    <x v="2"/>
    <n v="3"/>
    <n v="300"/>
    <n v="900"/>
    <n v="13.5"/>
    <n v="18"/>
  </r>
  <r>
    <n v="431"/>
    <n v="15"/>
    <n v="10"/>
    <n v="2023"/>
    <s v="Sun"/>
    <s v="Oct"/>
    <d v="2023-10-15T00:00:00"/>
    <s v="CUST431"/>
    <x v="0"/>
    <x v="2"/>
    <n v="63"/>
    <x v="2"/>
    <n v="4"/>
    <n v="300"/>
    <n v="1200"/>
    <n v="18"/>
    <n v="24"/>
  </r>
  <r>
    <n v="432"/>
    <n v="5"/>
    <n v="1"/>
    <n v="2023"/>
    <s v="Thu"/>
    <s v="Jan"/>
    <d v="2023-01-05T00:00:00"/>
    <s v="CUST432"/>
    <x v="1"/>
    <x v="2"/>
    <n v="60"/>
    <x v="2"/>
    <n v="2"/>
    <n v="500"/>
    <n v="1000"/>
    <n v="15"/>
    <n v="20"/>
  </r>
  <r>
    <n v="433"/>
    <n v="27"/>
    <n v="2"/>
    <n v="2023"/>
    <s v="Mon"/>
    <s v="Feb"/>
    <d v="2023-02-27T00:00:00"/>
    <s v="CUST433"/>
    <x v="0"/>
    <x v="1"/>
    <n v="29"/>
    <x v="0"/>
    <n v="4"/>
    <n v="50"/>
    <n v="200"/>
    <n v="3"/>
    <n v="4"/>
  </r>
  <r>
    <n v="434"/>
    <n v="8"/>
    <n v="2"/>
    <n v="2023"/>
    <s v="Wed"/>
    <s v="Feb"/>
    <d v="2023-02-08T00:00:00"/>
    <s v="CUST434"/>
    <x v="1"/>
    <x v="0"/>
    <n v="43"/>
    <x v="2"/>
    <n v="2"/>
    <n v="25"/>
    <n v="50"/>
    <n v="0.75"/>
    <n v="1"/>
  </r>
  <r>
    <n v="435"/>
    <n v="20"/>
    <n v="12"/>
    <n v="2023"/>
    <s v="Wed"/>
    <s v="Dec"/>
    <d v="2023-12-20T00:00:00"/>
    <s v="CUST435"/>
    <x v="1"/>
    <x v="0"/>
    <n v="30"/>
    <x v="0"/>
    <n v="3"/>
    <n v="300"/>
    <n v="900"/>
    <n v="13.5"/>
    <n v="18"/>
  </r>
  <r>
    <n v="436"/>
    <n v="18"/>
    <n v="3"/>
    <n v="2023"/>
    <s v="Sat"/>
    <s v="Mar"/>
    <d v="2023-03-18T00:00:00"/>
    <s v="CUST436"/>
    <x v="1"/>
    <x v="2"/>
    <n v="57"/>
    <x v="1"/>
    <n v="4"/>
    <n v="30"/>
    <n v="120"/>
    <n v="1.7999999999999998"/>
    <n v="2.4"/>
  </r>
  <r>
    <n v="437"/>
    <n v="7"/>
    <n v="10"/>
    <n v="2023"/>
    <s v="Sat"/>
    <s v="Oct"/>
    <d v="2023-10-07T00:00:00"/>
    <s v="CUST437"/>
    <x v="1"/>
    <x v="0"/>
    <n v="35"/>
    <x v="2"/>
    <n v="4"/>
    <n v="300"/>
    <n v="1200"/>
    <n v="18"/>
    <n v="24"/>
  </r>
  <r>
    <n v="438"/>
    <n v="19"/>
    <n v="1"/>
    <n v="2023"/>
    <s v="Thu"/>
    <s v="Jan"/>
    <d v="2023-01-19T00:00:00"/>
    <s v="CUST438"/>
    <x v="1"/>
    <x v="0"/>
    <n v="42"/>
    <x v="1"/>
    <n v="1"/>
    <n v="30"/>
    <n v="30"/>
    <n v="0.44999999999999996"/>
    <n v="0.6"/>
  </r>
  <r>
    <n v="439"/>
    <n v="9"/>
    <n v="7"/>
    <n v="2023"/>
    <s v="Sun"/>
    <s v="Jul"/>
    <d v="2023-07-09T00:00:00"/>
    <s v="CUST439"/>
    <x v="0"/>
    <x v="2"/>
    <n v="50"/>
    <x v="1"/>
    <n v="3"/>
    <n v="25"/>
    <n v="75"/>
    <n v="1.125"/>
    <n v="1.5"/>
  </r>
  <r>
    <n v="440"/>
    <n v="26"/>
    <n v="10"/>
    <n v="2023"/>
    <s v="Thu"/>
    <s v="Oct"/>
    <d v="2023-10-26T00:00:00"/>
    <s v="CUST440"/>
    <x v="0"/>
    <x v="2"/>
    <n v="64"/>
    <x v="1"/>
    <n v="2"/>
    <n v="300"/>
    <n v="600"/>
    <n v="9"/>
    <n v="12"/>
  </r>
  <r>
    <n v="441"/>
    <n v="10"/>
    <n v="10"/>
    <n v="2023"/>
    <s v="Tue"/>
    <s v="Oct"/>
    <d v="2023-10-10T00:00:00"/>
    <s v="CUST441"/>
    <x v="0"/>
    <x v="2"/>
    <n v="57"/>
    <x v="0"/>
    <n v="4"/>
    <n v="300"/>
    <n v="1200"/>
    <n v="18"/>
    <n v="24"/>
  </r>
  <r>
    <n v="442"/>
    <n v="17"/>
    <n v="3"/>
    <n v="2023"/>
    <s v="Fri"/>
    <s v="Mar"/>
    <d v="2023-03-17T00:00:00"/>
    <s v="CUST442"/>
    <x v="1"/>
    <x v="2"/>
    <n v="60"/>
    <x v="1"/>
    <n v="4"/>
    <n v="25"/>
    <n v="100"/>
    <n v="1.5"/>
    <n v="2"/>
  </r>
  <r>
    <n v="443"/>
    <n v="9"/>
    <n v="8"/>
    <n v="2023"/>
    <s v="Wed"/>
    <s v="Aug"/>
    <d v="2023-08-09T00:00:00"/>
    <s v="CUST443"/>
    <x v="0"/>
    <x v="1"/>
    <n v="29"/>
    <x v="1"/>
    <n v="2"/>
    <n v="300"/>
    <n v="600"/>
    <n v="9"/>
    <n v="12"/>
  </r>
  <r>
    <n v="444"/>
    <n v="7"/>
    <n v="3"/>
    <n v="2023"/>
    <s v="Tue"/>
    <s v="Mar"/>
    <d v="2023-03-07T00:00:00"/>
    <s v="CUST444"/>
    <x v="1"/>
    <x v="2"/>
    <n v="61"/>
    <x v="1"/>
    <n v="3"/>
    <n v="30"/>
    <n v="90"/>
    <n v="1.3499999999999999"/>
    <n v="1.8"/>
  </r>
  <r>
    <n v="445"/>
    <n v="22"/>
    <n v="1"/>
    <n v="2023"/>
    <s v="Sun"/>
    <s v="Jan"/>
    <d v="2023-01-22T00:00:00"/>
    <s v="CUST445"/>
    <x v="1"/>
    <x v="2"/>
    <n v="53"/>
    <x v="2"/>
    <n v="1"/>
    <n v="300"/>
    <n v="300"/>
    <n v="4.5"/>
    <n v="6"/>
  </r>
  <r>
    <n v="446"/>
    <n v="7"/>
    <n v="6"/>
    <n v="2023"/>
    <s v="Wed"/>
    <s v="Jun"/>
    <d v="2023-06-07T00:00:00"/>
    <s v="CUST446"/>
    <x v="0"/>
    <x v="1"/>
    <n v="21"/>
    <x v="2"/>
    <n v="1"/>
    <n v="50"/>
    <n v="50"/>
    <n v="0.75"/>
    <n v="1"/>
  </r>
  <r>
    <n v="447"/>
    <n v="6"/>
    <n v="7"/>
    <n v="2023"/>
    <s v="Thu"/>
    <s v="Jul"/>
    <d v="2023-07-06T00:00:00"/>
    <s v="CUST447"/>
    <x v="0"/>
    <x v="1"/>
    <n v="22"/>
    <x v="0"/>
    <n v="4"/>
    <n v="500"/>
    <n v="2000"/>
    <n v="30"/>
    <n v="40"/>
  </r>
  <r>
    <n v="448"/>
    <n v="21"/>
    <n v="1"/>
    <n v="2023"/>
    <s v="Sat"/>
    <s v="Jan"/>
    <d v="2023-01-21T00:00:00"/>
    <s v="CUST448"/>
    <x v="1"/>
    <x v="2"/>
    <n v="54"/>
    <x v="0"/>
    <n v="2"/>
    <n v="30"/>
    <n v="60"/>
    <n v="0.89999999999999991"/>
    <n v="1.2"/>
  </r>
  <r>
    <n v="449"/>
    <n v="3"/>
    <n v="7"/>
    <n v="2023"/>
    <s v="Mon"/>
    <s v="Jul"/>
    <d v="2023-07-03T00:00:00"/>
    <s v="CUST449"/>
    <x v="0"/>
    <x v="1"/>
    <n v="25"/>
    <x v="2"/>
    <n v="4"/>
    <n v="50"/>
    <n v="200"/>
    <n v="3"/>
    <n v="4"/>
  </r>
  <r>
    <n v="450"/>
    <n v="18"/>
    <n v="4"/>
    <n v="2023"/>
    <s v="Tue"/>
    <s v="Apr"/>
    <d v="2023-04-18T00:00:00"/>
    <s v="CUST450"/>
    <x v="1"/>
    <x v="2"/>
    <n v="59"/>
    <x v="0"/>
    <n v="2"/>
    <n v="25"/>
    <n v="50"/>
    <n v="0.75"/>
    <n v="1"/>
  </r>
  <r>
    <n v="451"/>
    <n v="16"/>
    <n v="12"/>
    <n v="2023"/>
    <s v="Sat"/>
    <s v="Dec"/>
    <d v="2023-12-16T00:00:00"/>
    <s v="CUST451"/>
    <x v="1"/>
    <x v="0"/>
    <n v="45"/>
    <x v="2"/>
    <n v="1"/>
    <n v="30"/>
    <n v="30"/>
    <n v="0.44999999999999996"/>
    <n v="0.6"/>
  </r>
  <r>
    <n v="452"/>
    <n v="8"/>
    <n v="5"/>
    <n v="2023"/>
    <s v="Mon"/>
    <s v="May"/>
    <d v="2023-05-08T00:00:00"/>
    <s v="CUST452"/>
    <x v="1"/>
    <x v="0"/>
    <n v="48"/>
    <x v="1"/>
    <n v="3"/>
    <n v="500"/>
    <n v="1500"/>
    <n v="22.5"/>
    <n v="30"/>
  </r>
  <r>
    <n v="453"/>
    <n v="8"/>
    <n v="12"/>
    <n v="2023"/>
    <s v="Fri"/>
    <s v="Dec"/>
    <d v="2023-12-08T00:00:00"/>
    <s v="CUST453"/>
    <x v="1"/>
    <x v="1"/>
    <n v="26"/>
    <x v="1"/>
    <n v="2"/>
    <n v="500"/>
    <n v="1000"/>
    <n v="15"/>
    <n v="20"/>
  </r>
  <r>
    <n v="454"/>
    <n v="22"/>
    <n v="2"/>
    <n v="2023"/>
    <s v="Wed"/>
    <s v="Feb"/>
    <d v="2023-02-22T00:00:00"/>
    <s v="CUST454"/>
    <x v="1"/>
    <x v="0"/>
    <n v="46"/>
    <x v="0"/>
    <n v="1"/>
    <n v="25"/>
    <n v="25"/>
    <n v="0.375"/>
    <n v="0.5"/>
  </r>
  <r>
    <n v="455"/>
    <n v="1"/>
    <n v="7"/>
    <n v="2023"/>
    <s v="Sat"/>
    <s v="Jul"/>
    <d v="2023-07-01T00:00:00"/>
    <s v="CUST455"/>
    <x v="0"/>
    <x v="0"/>
    <n v="31"/>
    <x v="2"/>
    <n v="4"/>
    <n v="25"/>
    <n v="100"/>
    <n v="1.5"/>
    <n v="2"/>
  </r>
  <r>
    <n v="456"/>
    <n v="14"/>
    <n v="10"/>
    <n v="2023"/>
    <s v="Sat"/>
    <s v="Oct"/>
    <d v="2023-10-14T00:00:00"/>
    <s v="CUST456"/>
    <x v="0"/>
    <x v="2"/>
    <n v="57"/>
    <x v="2"/>
    <n v="2"/>
    <n v="30"/>
    <n v="60"/>
    <n v="0.89999999999999991"/>
    <n v="1.2"/>
  </r>
  <r>
    <n v="457"/>
    <n v="28"/>
    <n v="7"/>
    <n v="2023"/>
    <s v="Fri"/>
    <s v="Jul"/>
    <d v="2023-07-28T00:00:00"/>
    <s v="CUST457"/>
    <x v="1"/>
    <x v="2"/>
    <n v="58"/>
    <x v="0"/>
    <n v="3"/>
    <n v="300"/>
    <n v="900"/>
    <n v="13.5"/>
    <n v="18"/>
  </r>
  <r>
    <n v="458"/>
    <n v="14"/>
    <n v="11"/>
    <n v="2023"/>
    <s v="Tue"/>
    <s v="Nov"/>
    <d v="2023-11-14T00:00:00"/>
    <s v="CUST458"/>
    <x v="1"/>
    <x v="0"/>
    <n v="39"/>
    <x v="2"/>
    <n v="4"/>
    <n v="25"/>
    <n v="100"/>
    <n v="1.5"/>
    <n v="2"/>
  </r>
  <r>
    <n v="459"/>
    <n v="21"/>
    <n v="3"/>
    <n v="2023"/>
    <s v="Tue"/>
    <s v="Mar"/>
    <d v="2023-03-21T00:00:00"/>
    <s v="CUST459"/>
    <x v="0"/>
    <x v="1"/>
    <n v="28"/>
    <x v="1"/>
    <n v="4"/>
    <n v="300"/>
    <n v="1200"/>
    <n v="18"/>
    <n v="24"/>
  </r>
  <r>
    <n v="460"/>
    <n v="2"/>
    <n v="5"/>
    <n v="2023"/>
    <s v="Tue"/>
    <s v="May"/>
    <d v="2023-05-02T00:00:00"/>
    <s v="CUST460"/>
    <x v="0"/>
    <x v="0"/>
    <n v="40"/>
    <x v="0"/>
    <n v="1"/>
    <n v="50"/>
    <n v="50"/>
    <n v="0.75"/>
    <n v="1"/>
  </r>
  <r>
    <n v="461"/>
    <n v="25"/>
    <n v="3"/>
    <n v="2023"/>
    <s v="Sat"/>
    <s v="Mar"/>
    <d v="2023-03-25T00:00:00"/>
    <s v="CUST461"/>
    <x v="1"/>
    <x v="1"/>
    <n v="18"/>
    <x v="0"/>
    <n v="2"/>
    <n v="500"/>
    <n v="1000"/>
    <n v="15"/>
    <n v="20"/>
  </r>
  <r>
    <n v="462"/>
    <n v="1"/>
    <n v="4"/>
    <n v="2023"/>
    <s v="Sat"/>
    <s v="Apr"/>
    <d v="2023-04-01T00:00:00"/>
    <s v="CUST462"/>
    <x v="0"/>
    <x v="2"/>
    <n v="63"/>
    <x v="2"/>
    <n v="4"/>
    <n v="300"/>
    <n v="1200"/>
    <n v="18"/>
    <n v="24"/>
  </r>
  <r>
    <n v="463"/>
    <n v="31"/>
    <n v="7"/>
    <n v="2023"/>
    <s v="Mon"/>
    <s v="Jul"/>
    <d v="2023-07-31T00:00:00"/>
    <s v="CUST463"/>
    <x v="1"/>
    <x v="2"/>
    <n v="54"/>
    <x v="0"/>
    <n v="3"/>
    <n v="500"/>
    <n v="1500"/>
    <n v="22.5"/>
    <n v="30"/>
  </r>
  <r>
    <n v="464"/>
    <n v="13"/>
    <n v="1"/>
    <n v="2023"/>
    <s v="Fri"/>
    <s v="Jan"/>
    <d v="2023-01-13T00:00:00"/>
    <s v="CUST464"/>
    <x v="0"/>
    <x v="0"/>
    <n v="38"/>
    <x v="2"/>
    <n v="2"/>
    <n v="300"/>
    <n v="600"/>
    <n v="9"/>
    <n v="12"/>
  </r>
  <r>
    <n v="465"/>
    <n v="2"/>
    <n v="4"/>
    <n v="2023"/>
    <s v="Sun"/>
    <s v="Apr"/>
    <d v="2023-04-02T00:00:00"/>
    <s v="CUST465"/>
    <x v="1"/>
    <x v="0"/>
    <n v="43"/>
    <x v="2"/>
    <n v="3"/>
    <n v="50"/>
    <n v="150"/>
    <n v="2.25"/>
    <n v="3"/>
  </r>
  <r>
    <n v="466"/>
    <n v="20"/>
    <n v="6"/>
    <n v="2023"/>
    <s v="Tue"/>
    <s v="Jun"/>
    <d v="2023-06-20T00:00:00"/>
    <s v="CUST466"/>
    <x v="0"/>
    <x v="2"/>
    <n v="63"/>
    <x v="2"/>
    <n v="4"/>
    <n v="25"/>
    <n v="100"/>
    <n v="1.5"/>
    <n v="2"/>
  </r>
  <r>
    <n v="467"/>
    <n v="30"/>
    <n v="7"/>
    <n v="2023"/>
    <s v="Sun"/>
    <s v="Jul"/>
    <d v="2023-07-30T00:00:00"/>
    <s v="CUST467"/>
    <x v="1"/>
    <x v="2"/>
    <n v="53"/>
    <x v="2"/>
    <n v="3"/>
    <n v="50"/>
    <n v="150"/>
    <n v="2.25"/>
    <n v="3"/>
  </r>
  <r>
    <n v="468"/>
    <n v="9"/>
    <n v="12"/>
    <n v="2023"/>
    <s v="Sat"/>
    <s v="Dec"/>
    <d v="2023-12-09T00:00:00"/>
    <s v="CUST468"/>
    <x v="0"/>
    <x v="0"/>
    <n v="40"/>
    <x v="2"/>
    <n v="1"/>
    <n v="25"/>
    <n v="25"/>
    <n v="0.375"/>
    <n v="0.5"/>
  </r>
  <r>
    <n v="469"/>
    <n v="8"/>
    <n v="5"/>
    <n v="2023"/>
    <s v="Mon"/>
    <s v="May"/>
    <d v="2023-05-08T00:00:00"/>
    <s v="CUST469"/>
    <x v="0"/>
    <x v="1"/>
    <n v="18"/>
    <x v="0"/>
    <n v="3"/>
    <n v="25"/>
    <n v="75"/>
    <n v="1.125"/>
    <n v="1.5"/>
  </r>
  <r>
    <n v="470"/>
    <n v="17"/>
    <n v="5"/>
    <n v="2023"/>
    <s v="Wed"/>
    <s v="May"/>
    <d v="2023-05-17T00:00:00"/>
    <s v="CUST470"/>
    <x v="1"/>
    <x v="2"/>
    <n v="57"/>
    <x v="1"/>
    <n v="2"/>
    <n v="500"/>
    <n v="1000"/>
    <n v="15"/>
    <n v="20"/>
  </r>
  <r>
    <n v="471"/>
    <n v="23"/>
    <n v="3"/>
    <n v="2023"/>
    <s v="Thu"/>
    <s v="Mar"/>
    <d v="2023-03-23T00:00:00"/>
    <s v="CUST471"/>
    <x v="0"/>
    <x v="0"/>
    <n v="32"/>
    <x v="1"/>
    <n v="3"/>
    <n v="50"/>
    <n v="150"/>
    <n v="2.25"/>
    <n v="3"/>
  </r>
  <r>
    <n v="472"/>
    <n v="26"/>
    <n v="12"/>
    <n v="2023"/>
    <s v="Tue"/>
    <s v="Dec"/>
    <d v="2023-12-26T00:00:00"/>
    <s v="CUST472"/>
    <x v="1"/>
    <x v="0"/>
    <n v="38"/>
    <x v="0"/>
    <n v="3"/>
    <n v="300"/>
    <n v="900"/>
    <n v="13.5"/>
    <n v="18"/>
  </r>
  <r>
    <n v="473"/>
    <n v="25"/>
    <n v="2"/>
    <n v="2023"/>
    <s v="Sat"/>
    <s v="Feb"/>
    <d v="2023-02-25T00:00:00"/>
    <s v="CUST473"/>
    <x v="0"/>
    <x v="2"/>
    <n v="64"/>
    <x v="0"/>
    <n v="1"/>
    <n v="50"/>
    <n v="50"/>
    <n v="0.75"/>
    <n v="1"/>
  </r>
  <r>
    <n v="474"/>
    <n v="15"/>
    <n v="7"/>
    <n v="2023"/>
    <s v="Sat"/>
    <s v="Jul"/>
    <d v="2023-07-15T00:00:00"/>
    <s v="CUST474"/>
    <x v="1"/>
    <x v="1"/>
    <n v="26"/>
    <x v="1"/>
    <n v="3"/>
    <n v="500"/>
    <n v="1500"/>
    <n v="22.5"/>
    <n v="30"/>
  </r>
  <r>
    <n v="475"/>
    <n v="20"/>
    <n v="1"/>
    <n v="2023"/>
    <s v="Fri"/>
    <s v="Jan"/>
    <d v="2023-01-20T00:00:00"/>
    <s v="CUST475"/>
    <x v="0"/>
    <x v="1"/>
    <n v="26"/>
    <x v="1"/>
    <n v="3"/>
    <n v="25"/>
    <n v="75"/>
    <n v="1.125"/>
    <n v="1.5"/>
  </r>
  <r>
    <n v="476"/>
    <n v="29"/>
    <n v="8"/>
    <n v="2023"/>
    <s v="Tue"/>
    <s v="Aug"/>
    <d v="2023-08-29T00:00:00"/>
    <s v="CUST476"/>
    <x v="1"/>
    <x v="1"/>
    <n v="27"/>
    <x v="1"/>
    <n v="4"/>
    <n v="500"/>
    <n v="2000"/>
    <n v="30"/>
    <n v="40"/>
  </r>
  <r>
    <n v="477"/>
    <n v="24"/>
    <n v="4"/>
    <n v="2023"/>
    <s v="Mon"/>
    <s v="Apr"/>
    <d v="2023-04-24T00:00:00"/>
    <s v="CUST477"/>
    <x v="0"/>
    <x v="0"/>
    <n v="43"/>
    <x v="1"/>
    <n v="4"/>
    <n v="30"/>
    <n v="120"/>
    <n v="1.7999999999999998"/>
    <n v="2.4"/>
  </r>
  <r>
    <n v="478"/>
    <n v="13"/>
    <n v="4"/>
    <n v="2023"/>
    <s v="Thu"/>
    <s v="Apr"/>
    <d v="2023-04-13T00:00:00"/>
    <s v="CUST478"/>
    <x v="1"/>
    <x v="2"/>
    <n v="58"/>
    <x v="1"/>
    <n v="2"/>
    <n v="30"/>
    <n v="60"/>
    <n v="0.89999999999999991"/>
    <n v="1.2"/>
  </r>
  <r>
    <n v="479"/>
    <n v="24"/>
    <n v="8"/>
    <n v="2023"/>
    <s v="Thu"/>
    <s v="Aug"/>
    <d v="2023-08-24T00:00:00"/>
    <s v="CUST479"/>
    <x v="0"/>
    <x v="2"/>
    <n v="52"/>
    <x v="2"/>
    <n v="4"/>
    <n v="300"/>
    <n v="1200"/>
    <n v="18"/>
    <n v="24"/>
  </r>
  <r>
    <n v="480"/>
    <n v="29"/>
    <n v="6"/>
    <n v="2023"/>
    <s v="Thu"/>
    <s v="Jun"/>
    <d v="2023-06-29T00:00:00"/>
    <s v="CUST480"/>
    <x v="1"/>
    <x v="0"/>
    <n v="42"/>
    <x v="0"/>
    <n v="4"/>
    <n v="500"/>
    <n v="2000"/>
    <n v="30"/>
    <n v="40"/>
  </r>
  <r>
    <n v="481"/>
    <n v="6"/>
    <n v="6"/>
    <n v="2023"/>
    <s v="Tue"/>
    <s v="Jun"/>
    <d v="2023-06-06T00:00:00"/>
    <s v="CUST481"/>
    <x v="1"/>
    <x v="0"/>
    <n v="43"/>
    <x v="2"/>
    <n v="4"/>
    <n v="300"/>
    <n v="1200"/>
    <n v="18"/>
    <n v="24"/>
  </r>
  <r>
    <n v="482"/>
    <n v="27"/>
    <n v="4"/>
    <n v="2023"/>
    <s v="Thu"/>
    <s v="Apr"/>
    <d v="2023-04-27T00:00:00"/>
    <s v="CUST482"/>
    <x v="1"/>
    <x v="1"/>
    <n v="28"/>
    <x v="1"/>
    <n v="4"/>
    <n v="300"/>
    <n v="1200"/>
    <n v="18"/>
    <n v="24"/>
  </r>
  <r>
    <n v="483"/>
    <n v="25"/>
    <n v="4"/>
    <n v="2023"/>
    <s v="Tue"/>
    <s v="Apr"/>
    <d v="2023-04-25T00:00:00"/>
    <s v="CUST483"/>
    <x v="0"/>
    <x v="2"/>
    <n v="55"/>
    <x v="1"/>
    <n v="1"/>
    <n v="30"/>
    <n v="30"/>
    <n v="0.44999999999999996"/>
    <n v="0.6"/>
  </r>
  <r>
    <n v="484"/>
    <n v="13"/>
    <n v="1"/>
    <n v="2023"/>
    <s v="Fri"/>
    <s v="Jan"/>
    <d v="2023-01-13T00:00:00"/>
    <s v="CUST484"/>
    <x v="1"/>
    <x v="1"/>
    <n v="19"/>
    <x v="1"/>
    <n v="4"/>
    <n v="300"/>
    <n v="1200"/>
    <n v="18"/>
    <n v="24"/>
  </r>
  <r>
    <n v="485"/>
    <n v="4"/>
    <n v="12"/>
    <n v="2023"/>
    <s v="Mon"/>
    <s v="Dec"/>
    <d v="2023-12-04T00:00:00"/>
    <s v="CUST485"/>
    <x v="0"/>
    <x v="1"/>
    <n v="24"/>
    <x v="2"/>
    <n v="1"/>
    <n v="30"/>
    <n v="30"/>
    <n v="0.44999999999999996"/>
    <n v="0.6"/>
  </r>
  <r>
    <n v="486"/>
    <n v="9"/>
    <n v="4"/>
    <n v="2023"/>
    <s v="Sun"/>
    <s v="Apr"/>
    <d v="2023-04-09T00:00:00"/>
    <s v="CUST486"/>
    <x v="1"/>
    <x v="0"/>
    <n v="35"/>
    <x v="2"/>
    <n v="1"/>
    <n v="25"/>
    <n v="25"/>
    <n v="0.375"/>
    <n v="0.5"/>
  </r>
  <r>
    <n v="487"/>
    <n v="24"/>
    <n v="7"/>
    <n v="2023"/>
    <s v="Mon"/>
    <s v="Jul"/>
    <d v="2023-07-24T00:00:00"/>
    <s v="CUST487"/>
    <x v="0"/>
    <x v="0"/>
    <n v="44"/>
    <x v="1"/>
    <n v="4"/>
    <n v="500"/>
    <n v="2000"/>
    <n v="30"/>
    <n v="40"/>
  </r>
  <r>
    <n v="488"/>
    <n v="18"/>
    <n v="6"/>
    <n v="2023"/>
    <s v="Sun"/>
    <s v="Jun"/>
    <d v="2023-06-18T00:00:00"/>
    <s v="CUST488"/>
    <x v="1"/>
    <x v="2"/>
    <n v="51"/>
    <x v="2"/>
    <n v="3"/>
    <n v="300"/>
    <n v="900"/>
    <n v="13.5"/>
    <n v="18"/>
  </r>
  <r>
    <n v="489"/>
    <n v="23"/>
    <n v="5"/>
    <n v="2023"/>
    <s v="Tue"/>
    <s v="May"/>
    <d v="2023-05-23T00:00:00"/>
    <s v="CUST489"/>
    <x v="0"/>
    <x v="0"/>
    <n v="44"/>
    <x v="2"/>
    <n v="1"/>
    <n v="30"/>
    <n v="30"/>
    <n v="0.44999999999999996"/>
    <n v="0.6"/>
  </r>
  <r>
    <n v="490"/>
    <n v="5"/>
    <n v="2"/>
    <n v="2023"/>
    <s v="Sun"/>
    <s v="Feb"/>
    <d v="2023-02-05T00:00:00"/>
    <s v="CUST490"/>
    <x v="0"/>
    <x v="0"/>
    <n v="34"/>
    <x v="1"/>
    <n v="3"/>
    <n v="50"/>
    <n v="150"/>
    <n v="2.25"/>
    <n v="3"/>
  </r>
  <r>
    <n v="491"/>
    <n v="23"/>
    <n v="5"/>
    <n v="2023"/>
    <s v="Tue"/>
    <s v="May"/>
    <d v="2023-05-23T00:00:00"/>
    <s v="CUST491"/>
    <x v="1"/>
    <x v="2"/>
    <n v="60"/>
    <x v="2"/>
    <n v="3"/>
    <n v="300"/>
    <n v="900"/>
    <n v="13.5"/>
    <n v="18"/>
  </r>
  <r>
    <n v="492"/>
    <n v="29"/>
    <n v="6"/>
    <n v="2023"/>
    <s v="Thu"/>
    <s v="Jun"/>
    <d v="2023-06-29T00:00:00"/>
    <s v="CUST492"/>
    <x v="0"/>
    <x v="2"/>
    <n v="61"/>
    <x v="0"/>
    <n v="4"/>
    <n v="25"/>
    <n v="100"/>
    <n v="1.5"/>
    <n v="2"/>
  </r>
  <r>
    <n v="493"/>
    <n v="25"/>
    <n v="11"/>
    <n v="2023"/>
    <s v="Sat"/>
    <s v="Nov"/>
    <d v="2023-11-25T00:00:00"/>
    <s v="CUST493"/>
    <x v="0"/>
    <x v="0"/>
    <n v="41"/>
    <x v="0"/>
    <n v="2"/>
    <n v="25"/>
    <n v="50"/>
    <n v="0.75"/>
    <n v="1"/>
  </r>
  <r>
    <n v="494"/>
    <n v="18"/>
    <n v="9"/>
    <n v="2023"/>
    <s v="Mon"/>
    <s v="Sep"/>
    <d v="2023-09-18T00:00:00"/>
    <s v="CUST494"/>
    <x v="1"/>
    <x v="0"/>
    <n v="42"/>
    <x v="0"/>
    <n v="4"/>
    <n v="50"/>
    <n v="200"/>
    <n v="3"/>
    <n v="4"/>
  </r>
  <r>
    <n v="495"/>
    <n v="24"/>
    <n v="7"/>
    <n v="2023"/>
    <s v="Mon"/>
    <s v="Jul"/>
    <d v="2023-07-24T00:00:00"/>
    <s v="CUST495"/>
    <x v="0"/>
    <x v="1"/>
    <n v="24"/>
    <x v="0"/>
    <n v="2"/>
    <n v="30"/>
    <n v="60"/>
    <n v="0.89999999999999991"/>
    <n v="1.2"/>
  </r>
  <r>
    <n v="496"/>
    <n v="14"/>
    <n v="12"/>
    <n v="2023"/>
    <s v="Thu"/>
    <s v="Dec"/>
    <d v="2023-12-14T00:00:00"/>
    <s v="CUST496"/>
    <x v="0"/>
    <x v="1"/>
    <n v="23"/>
    <x v="1"/>
    <n v="2"/>
    <n v="300"/>
    <n v="600"/>
    <n v="9"/>
    <n v="12"/>
  </r>
  <r>
    <n v="497"/>
    <n v="2"/>
    <n v="10"/>
    <n v="2023"/>
    <s v="Mon"/>
    <s v="Oct"/>
    <d v="2023-10-02T00:00:00"/>
    <s v="CUST497"/>
    <x v="0"/>
    <x v="0"/>
    <n v="41"/>
    <x v="1"/>
    <n v="4"/>
    <n v="30"/>
    <n v="120"/>
    <n v="1.7999999999999998"/>
    <n v="2.4"/>
  </r>
  <r>
    <n v="498"/>
    <n v="19"/>
    <n v="6"/>
    <n v="2023"/>
    <s v="Mon"/>
    <s v="Jun"/>
    <d v="2023-06-19T00:00:00"/>
    <s v="CUST498"/>
    <x v="1"/>
    <x v="2"/>
    <n v="50"/>
    <x v="1"/>
    <n v="4"/>
    <n v="25"/>
    <n v="100"/>
    <n v="1.5"/>
    <n v="2"/>
  </r>
  <r>
    <n v="499"/>
    <n v="15"/>
    <n v="1"/>
    <n v="2023"/>
    <s v="Sun"/>
    <s v="Jan"/>
    <d v="2023-01-15T00:00:00"/>
    <s v="CUST499"/>
    <x v="0"/>
    <x v="0"/>
    <n v="46"/>
    <x v="0"/>
    <n v="2"/>
    <n v="30"/>
    <n v="60"/>
    <n v="0.89999999999999991"/>
    <n v="1.2"/>
  </r>
  <r>
    <n v="500"/>
    <n v="1"/>
    <n v="3"/>
    <n v="2023"/>
    <s v="Wed"/>
    <s v="Mar"/>
    <d v="2023-03-01T00:00:00"/>
    <s v="CUST500"/>
    <x v="1"/>
    <x v="2"/>
    <n v="60"/>
    <x v="0"/>
    <n v="4"/>
    <n v="25"/>
    <n v="100"/>
    <n v="1.5"/>
    <n v="2"/>
  </r>
  <r>
    <n v="501"/>
    <n v="14"/>
    <n v="5"/>
    <n v="2023"/>
    <s v="Sun"/>
    <s v="May"/>
    <d v="2023-05-14T00:00:00"/>
    <s v="CUST501"/>
    <x v="0"/>
    <x v="0"/>
    <n v="39"/>
    <x v="2"/>
    <n v="2"/>
    <n v="30"/>
    <n v="60"/>
    <n v="0.89999999999999991"/>
    <n v="1.2"/>
  </r>
  <r>
    <n v="502"/>
    <n v="2"/>
    <n v="4"/>
    <n v="2023"/>
    <s v="Sun"/>
    <s v="Apr"/>
    <d v="2023-04-02T00:00:00"/>
    <s v="CUST502"/>
    <x v="0"/>
    <x v="0"/>
    <n v="43"/>
    <x v="2"/>
    <n v="3"/>
    <n v="50"/>
    <n v="150"/>
    <n v="2.25"/>
    <n v="3"/>
  </r>
  <r>
    <n v="503"/>
    <n v="25"/>
    <n v="10"/>
    <n v="2023"/>
    <s v="Wed"/>
    <s v="Oct"/>
    <d v="2023-10-25T00:00:00"/>
    <s v="CUST503"/>
    <x v="0"/>
    <x v="0"/>
    <n v="45"/>
    <x v="0"/>
    <n v="4"/>
    <n v="500"/>
    <n v="2000"/>
    <n v="30"/>
    <n v="40"/>
  </r>
  <r>
    <n v="504"/>
    <n v="16"/>
    <n v="5"/>
    <n v="2023"/>
    <s v="Tue"/>
    <s v="May"/>
    <d v="2023-05-16T00:00:00"/>
    <s v="CUST504"/>
    <x v="1"/>
    <x v="0"/>
    <n v="38"/>
    <x v="0"/>
    <n v="3"/>
    <n v="50"/>
    <n v="150"/>
    <n v="2.25"/>
    <n v="3"/>
  </r>
  <r>
    <n v="505"/>
    <n v="20"/>
    <n v="1"/>
    <n v="2023"/>
    <s v="Fri"/>
    <s v="Jan"/>
    <d v="2023-01-20T00:00:00"/>
    <s v="CUST505"/>
    <x v="0"/>
    <x v="1"/>
    <n v="24"/>
    <x v="0"/>
    <n v="1"/>
    <n v="50"/>
    <n v="50"/>
    <n v="0.75"/>
    <n v="1"/>
  </r>
  <r>
    <n v="506"/>
    <n v="25"/>
    <n v="2"/>
    <n v="2023"/>
    <s v="Sat"/>
    <s v="Feb"/>
    <d v="2023-02-25T00:00:00"/>
    <s v="CUST506"/>
    <x v="0"/>
    <x v="0"/>
    <n v="34"/>
    <x v="0"/>
    <n v="3"/>
    <n v="500"/>
    <n v="1500"/>
    <n v="22.5"/>
    <n v="30"/>
  </r>
  <r>
    <n v="507"/>
    <n v="2"/>
    <n v="11"/>
    <n v="2023"/>
    <s v="Thu"/>
    <s v="Nov"/>
    <d v="2023-11-02T00:00:00"/>
    <s v="CUST507"/>
    <x v="1"/>
    <x v="0"/>
    <n v="37"/>
    <x v="2"/>
    <n v="3"/>
    <n v="500"/>
    <n v="1500"/>
    <n v="22.5"/>
    <n v="30"/>
  </r>
  <r>
    <n v="508"/>
    <n v="11"/>
    <n v="8"/>
    <n v="2023"/>
    <s v="Fri"/>
    <s v="Aug"/>
    <d v="2023-08-11T00:00:00"/>
    <s v="CUST508"/>
    <x v="0"/>
    <x v="2"/>
    <n v="58"/>
    <x v="0"/>
    <n v="2"/>
    <n v="300"/>
    <n v="600"/>
    <n v="9"/>
    <n v="12"/>
  </r>
  <r>
    <n v="509"/>
    <n v="26"/>
    <n v="6"/>
    <n v="2023"/>
    <s v="Mon"/>
    <s v="Jun"/>
    <d v="2023-06-26T00:00:00"/>
    <s v="CUST509"/>
    <x v="1"/>
    <x v="0"/>
    <n v="37"/>
    <x v="2"/>
    <n v="3"/>
    <n v="300"/>
    <n v="900"/>
    <n v="13.5"/>
    <n v="18"/>
  </r>
  <r>
    <n v="510"/>
    <n v="10"/>
    <n v="6"/>
    <n v="2023"/>
    <s v="Sat"/>
    <s v="Jun"/>
    <d v="2023-06-10T00:00:00"/>
    <s v="CUST510"/>
    <x v="1"/>
    <x v="0"/>
    <n v="39"/>
    <x v="0"/>
    <n v="4"/>
    <n v="50"/>
    <n v="200"/>
    <n v="3"/>
    <n v="4"/>
  </r>
  <r>
    <n v="511"/>
    <n v="12"/>
    <n v="8"/>
    <n v="2023"/>
    <s v="Sat"/>
    <s v="Aug"/>
    <d v="2023-08-12T00:00:00"/>
    <s v="CUST511"/>
    <x v="0"/>
    <x v="0"/>
    <n v="45"/>
    <x v="0"/>
    <n v="2"/>
    <n v="50"/>
    <n v="100"/>
    <n v="1.5"/>
    <n v="2"/>
  </r>
  <r>
    <n v="512"/>
    <n v="7"/>
    <n v="11"/>
    <n v="2023"/>
    <s v="Tue"/>
    <s v="Nov"/>
    <d v="2023-11-07T00:00:00"/>
    <s v="CUST512"/>
    <x v="1"/>
    <x v="2"/>
    <n v="57"/>
    <x v="0"/>
    <n v="1"/>
    <n v="25"/>
    <n v="25"/>
    <n v="0.375"/>
    <n v="0.5"/>
  </r>
  <r>
    <n v="513"/>
    <n v="19"/>
    <n v="9"/>
    <n v="2023"/>
    <s v="Tue"/>
    <s v="Sep"/>
    <d v="2023-09-19T00:00:00"/>
    <s v="CUST513"/>
    <x v="0"/>
    <x v="1"/>
    <n v="24"/>
    <x v="2"/>
    <n v="4"/>
    <n v="25"/>
    <n v="100"/>
    <n v="1.5"/>
    <n v="2"/>
  </r>
  <r>
    <n v="514"/>
    <n v="1"/>
    <n v="3"/>
    <n v="2023"/>
    <s v="Wed"/>
    <s v="Mar"/>
    <d v="2023-03-01T00:00:00"/>
    <s v="CUST514"/>
    <x v="1"/>
    <x v="1"/>
    <n v="18"/>
    <x v="2"/>
    <n v="1"/>
    <n v="300"/>
    <n v="300"/>
    <n v="4.5"/>
    <n v="6"/>
  </r>
  <r>
    <n v="515"/>
    <n v="17"/>
    <n v="7"/>
    <n v="2023"/>
    <s v="Mon"/>
    <s v="Jul"/>
    <d v="2023-07-17T00:00:00"/>
    <s v="CUST515"/>
    <x v="1"/>
    <x v="0"/>
    <n v="49"/>
    <x v="1"/>
    <n v="3"/>
    <n v="300"/>
    <n v="900"/>
    <n v="13.5"/>
    <n v="18"/>
  </r>
  <r>
    <n v="516"/>
    <n v="23"/>
    <n v="10"/>
    <n v="2023"/>
    <s v="Mon"/>
    <s v="Oct"/>
    <d v="2023-10-23T00:00:00"/>
    <s v="CUST516"/>
    <x v="0"/>
    <x v="0"/>
    <n v="30"/>
    <x v="0"/>
    <n v="4"/>
    <n v="25"/>
    <n v="100"/>
    <n v="1.5"/>
    <n v="2"/>
  </r>
  <r>
    <n v="517"/>
    <n v="8"/>
    <n v="4"/>
    <n v="2023"/>
    <s v="Sat"/>
    <s v="Apr"/>
    <d v="2023-04-08T00:00:00"/>
    <s v="CUST517"/>
    <x v="1"/>
    <x v="0"/>
    <n v="47"/>
    <x v="1"/>
    <n v="4"/>
    <n v="25"/>
    <n v="100"/>
    <n v="1.5"/>
    <n v="2"/>
  </r>
  <r>
    <n v="518"/>
    <n v="11"/>
    <n v="5"/>
    <n v="2023"/>
    <s v="Thu"/>
    <s v="May"/>
    <d v="2023-05-11T00:00:00"/>
    <s v="CUST518"/>
    <x v="1"/>
    <x v="0"/>
    <n v="40"/>
    <x v="1"/>
    <n v="1"/>
    <n v="30"/>
    <n v="30"/>
    <n v="0.44999999999999996"/>
    <n v="0.6"/>
  </r>
  <r>
    <n v="519"/>
    <n v="23"/>
    <n v="1"/>
    <n v="2023"/>
    <s v="Mon"/>
    <s v="Jan"/>
    <d v="2023-01-23T00:00:00"/>
    <s v="CUST519"/>
    <x v="1"/>
    <x v="0"/>
    <n v="36"/>
    <x v="2"/>
    <n v="4"/>
    <n v="30"/>
    <n v="120"/>
    <n v="1.7999999999999998"/>
    <n v="2.4"/>
  </r>
  <r>
    <n v="520"/>
    <n v="29"/>
    <n v="12"/>
    <n v="2023"/>
    <s v="Fri"/>
    <s v="Dec"/>
    <d v="2023-12-29T00:00:00"/>
    <s v="CUST520"/>
    <x v="1"/>
    <x v="0"/>
    <n v="49"/>
    <x v="2"/>
    <n v="4"/>
    <n v="25"/>
    <n v="100"/>
    <n v="1.5"/>
    <n v="2"/>
  </r>
  <r>
    <n v="521"/>
    <n v="12"/>
    <n v="8"/>
    <n v="2023"/>
    <s v="Sat"/>
    <s v="Aug"/>
    <d v="2023-08-12T00:00:00"/>
    <s v="CUST521"/>
    <x v="1"/>
    <x v="0"/>
    <n v="47"/>
    <x v="1"/>
    <n v="4"/>
    <n v="30"/>
    <n v="120"/>
    <n v="1.7999999999999998"/>
    <n v="2.4"/>
  </r>
  <r>
    <n v="522"/>
    <n v="1"/>
    <n v="1"/>
    <n v="2023"/>
    <s v="Sun"/>
    <s v="Jan"/>
    <d v="2023-01-01T00:00:00"/>
    <s v="CUST522"/>
    <x v="0"/>
    <x v="0"/>
    <n v="46"/>
    <x v="0"/>
    <n v="3"/>
    <n v="500"/>
    <n v="1500"/>
    <n v="22.5"/>
    <n v="30"/>
  </r>
  <r>
    <n v="523"/>
    <n v="24"/>
    <n v="9"/>
    <n v="2023"/>
    <s v="Sun"/>
    <s v="Sep"/>
    <d v="2023-09-24T00:00:00"/>
    <s v="CUST523"/>
    <x v="1"/>
    <x v="2"/>
    <n v="62"/>
    <x v="2"/>
    <n v="1"/>
    <n v="300"/>
    <n v="300"/>
    <n v="4.5"/>
    <n v="6"/>
  </r>
  <r>
    <n v="524"/>
    <n v="3"/>
    <n v="10"/>
    <n v="2023"/>
    <s v="Tue"/>
    <s v="Oct"/>
    <d v="2023-10-03T00:00:00"/>
    <s v="CUST524"/>
    <x v="0"/>
    <x v="0"/>
    <n v="46"/>
    <x v="0"/>
    <n v="4"/>
    <n v="300"/>
    <n v="1200"/>
    <n v="18"/>
    <n v="24"/>
  </r>
  <r>
    <n v="525"/>
    <n v="18"/>
    <n v="12"/>
    <n v="2023"/>
    <s v="Mon"/>
    <s v="Dec"/>
    <d v="2023-12-18T00:00:00"/>
    <s v="CUST525"/>
    <x v="1"/>
    <x v="0"/>
    <n v="47"/>
    <x v="0"/>
    <n v="2"/>
    <n v="25"/>
    <n v="50"/>
    <n v="0.75"/>
    <n v="1"/>
  </r>
  <r>
    <n v="526"/>
    <n v="10"/>
    <n v="12"/>
    <n v="2023"/>
    <s v="Sun"/>
    <s v="Dec"/>
    <d v="2023-12-10T00:00:00"/>
    <s v="CUST526"/>
    <x v="0"/>
    <x v="0"/>
    <n v="33"/>
    <x v="1"/>
    <n v="2"/>
    <n v="50"/>
    <n v="100"/>
    <n v="1.5"/>
    <n v="2"/>
  </r>
  <r>
    <n v="527"/>
    <n v="11"/>
    <n v="4"/>
    <n v="2023"/>
    <s v="Tue"/>
    <s v="Apr"/>
    <d v="2023-04-11T00:00:00"/>
    <s v="CUST527"/>
    <x v="0"/>
    <x v="2"/>
    <n v="57"/>
    <x v="1"/>
    <n v="2"/>
    <n v="25"/>
    <n v="50"/>
    <n v="0.75"/>
    <n v="1"/>
  </r>
  <r>
    <n v="528"/>
    <n v="6"/>
    <n v="7"/>
    <n v="2023"/>
    <s v="Thu"/>
    <s v="Jul"/>
    <d v="2023-07-06T00:00:00"/>
    <s v="CUST528"/>
    <x v="1"/>
    <x v="0"/>
    <n v="36"/>
    <x v="1"/>
    <n v="2"/>
    <n v="30"/>
    <n v="60"/>
    <n v="0.89999999999999991"/>
    <n v="1.2"/>
  </r>
  <r>
    <n v="529"/>
    <n v="9"/>
    <n v="8"/>
    <n v="2023"/>
    <s v="Wed"/>
    <s v="Aug"/>
    <d v="2023-08-09T00:00:00"/>
    <s v="CUST529"/>
    <x v="1"/>
    <x v="0"/>
    <n v="35"/>
    <x v="1"/>
    <n v="3"/>
    <n v="50"/>
    <n v="150"/>
    <n v="2.25"/>
    <n v="3"/>
  </r>
  <r>
    <n v="530"/>
    <n v="5"/>
    <n v="2"/>
    <n v="2023"/>
    <s v="Sun"/>
    <s v="Feb"/>
    <d v="2023-02-05T00:00:00"/>
    <s v="CUST530"/>
    <x v="1"/>
    <x v="1"/>
    <n v="18"/>
    <x v="2"/>
    <n v="4"/>
    <n v="30"/>
    <n v="120"/>
    <n v="1.7999999999999998"/>
    <n v="2.4"/>
  </r>
  <r>
    <n v="531"/>
    <n v="7"/>
    <n v="12"/>
    <n v="2023"/>
    <s v="Thu"/>
    <s v="Dec"/>
    <d v="2023-12-07T00:00:00"/>
    <s v="CUST531"/>
    <x v="0"/>
    <x v="0"/>
    <n v="31"/>
    <x v="2"/>
    <n v="1"/>
    <n v="500"/>
    <n v="500"/>
    <n v="7.5"/>
    <n v="10"/>
  </r>
  <r>
    <n v="532"/>
    <n v="19"/>
    <n v="6"/>
    <n v="2023"/>
    <s v="Mon"/>
    <s v="Jun"/>
    <d v="2023-06-19T00:00:00"/>
    <s v="CUST532"/>
    <x v="1"/>
    <x v="2"/>
    <n v="64"/>
    <x v="1"/>
    <n v="4"/>
    <n v="30"/>
    <n v="120"/>
    <n v="1.7999999999999998"/>
    <n v="2.4"/>
  </r>
  <r>
    <n v="533"/>
    <n v="16"/>
    <n v="11"/>
    <n v="2023"/>
    <s v="Thu"/>
    <s v="Nov"/>
    <d v="2023-11-16T00:00:00"/>
    <s v="CUST533"/>
    <x v="0"/>
    <x v="1"/>
    <n v="19"/>
    <x v="2"/>
    <n v="3"/>
    <n v="500"/>
    <n v="1500"/>
    <n v="22.5"/>
    <n v="30"/>
  </r>
  <r>
    <n v="534"/>
    <n v="10"/>
    <n v="6"/>
    <n v="2023"/>
    <s v="Sat"/>
    <s v="Jun"/>
    <d v="2023-06-10T00:00:00"/>
    <s v="CUST534"/>
    <x v="0"/>
    <x v="0"/>
    <n v="45"/>
    <x v="1"/>
    <n v="2"/>
    <n v="500"/>
    <n v="1000"/>
    <n v="15"/>
    <n v="20"/>
  </r>
  <r>
    <n v="535"/>
    <n v="6"/>
    <n v="12"/>
    <n v="2023"/>
    <s v="Wed"/>
    <s v="Dec"/>
    <d v="2023-12-06T00:00:00"/>
    <s v="CUST535"/>
    <x v="0"/>
    <x v="0"/>
    <n v="47"/>
    <x v="0"/>
    <n v="3"/>
    <n v="30"/>
    <n v="90"/>
    <n v="1.3499999999999999"/>
    <n v="1.8"/>
  </r>
  <r>
    <n v="536"/>
    <n v="5"/>
    <n v="3"/>
    <n v="2023"/>
    <s v="Sun"/>
    <s v="Mar"/>
    <d v="2023-03-05T00:00:00"/>
    <s v="CUST536"/>
    <x v="1"/>
    <x v="2"/>
    <n v="55"/>
    <x v="0"/>
    <n v="4"/>
    <n v="30"/>
    <n v="120"/>
    <n v="1.7999999999999998"/>
    <n v="2.4"/>
  </r>
  <r>
    <n v="537"/>
    <n v="3"/>
    <n v="6"/>
    <n v="2023"/>
    <s v="Sat"/>
    <s v="Jun"/>
    <d v="2023-06-03T00:00:00"/>
    <s v="CUST537"/>
    <x v="1"/>
    <x v="1"/>
    <n v="21"/>
    <x v="0"/>
    <n v="1"/>
    <n v="500"/>
    <n v="500"/>
    <n v="7.5"/>
    <n v="10"/>
  </r>
  <r>
    <n v="538"/>
    <n v="17"/>
    <n v="9"/>
    <n v="2023"/>
    <s v="Sun"/>
    <s v="Sep"/>
    <d v="2023-09-17T00:00:00"/>
    <s v="CUST538"/>
    <x v="0"/>
    <x v="1"/>
    <n v="18"/>
    <x v="1"/>
    <n v="3"/>
    <n v="50"/>
    <n v="150"/>
    <n v="2.25"/>
    <n v="3"/>
  </r>
  <r>
    <n v="539"/>
    <n v="8"/>
    <n v="6"/>
    <n v="2023"/>
    <s v="Thu"/>
    <s v="Jun"/>
    <d v="2023-06-08T00:00:00"/>
    <s v="CUST539"/>
    <x v="0"/>
    <x v="1"/>
    <n v="25"/>
    <x v="0"/>
    <n v="1"/>
    <n v="500"/>
    <n v="500"/>
    <n v="7.5"/>
    <n v="10"/>
  </r>
  <r>
    <n v="540"/>
    <n v="8"/>
    <n v="12"/>
    <n v="2023"/>
    <s v="Fri"/>
    <s v="Dec"/>
    <d v="2023-12-08T00:00:00"/>
    <s v="CUST540"/>
    <x v="1"/>
    <x v="0"/>
    <n v="46"/>
    <x v="2"/>
    <n v="3"/>
    <n v="300"/>
    <n v="900"/>
    <n v="13.5"/>
    <n v="18"/>
  </r>
  <r>
    <n v="541"/>
    <n v="29"/>
    <n v="7"/>
    <n v="2023"/>
    <s v="Sat"/>
    <s v="Jul"/>
    <d v="2023-07-29T00:00:00"/>
    <s v="CUST541"/>
    <x v="0"/>
    <x v="2"/>
    <n v="56"/>
    <x v="0"/>
    <n v="1"/>
    <n v="500"/>
    <n v="500"/>
    <n v="7.5"/>
    <n v="10"/>
  </r>
  <r>
    <n v="542"/>
    <n v="17"/>
    <n v="6"/>
    <n v="2023"/>
    <s v="Sat"/>
    <s v="Jun"/>
    <d v="2023-06-17T00:00:00"/>
    <s v="CUST542"/>
    <x v="1"/>
    <x v="1"/>
    <n v="20"/>
    <x v="0"/>
    <n v="1"/>
    <n v="50"/>
    <n v="50"/>
    <n v="0.75"/>
    <n v="1"/>
  </r>
  <r>
    <n v="543"/>
    <n v="26"/>
    <n v="7"/>
    <n v="2023"/>
    <s v="Wed"/>
    <s v="Jul"/>
    <d v="2023-07-26T00:00:00"/>
    <s v="CUST543"/>
    <x v="0"/>
    <x v="0"/>
    <n v="49"/>
    <x v="0"/>
    <n v="2"/>
    <n v="300"/>
    <n v="600"/>
    <n v="9"/>
    <n v="12"/>
  </r>
  <r>
    <n v="544"/>
    <n v="23"/>
    <n v="12"/>
    <n v="2023"/>
    <s v="Sat"/>
    <s v="Dec"/>
    <d v="2023-12-23T00:00:00"/>
    <s v="CUST544"/>
    <x v="1"/>
    <x v="1"/>
    <n v="27"/>
    <x v="2"/>
    <n v="1"/>
    <n v="25"/>
    <n v="25"/>
    <n v="0.375"/>
    <n v="0.5"/>
  </r>
  <r>
    <n v="545"/>
    <n v="1"/>
    <n v="6"/>
    <n v="2023"/>
    <s v="Thu"/>
    <s v="Jun"/>
    <d v="2023-06-01T00:00:00"/>
    <s v="CUST545"/>
    <x v="0"/>
    <x v="1"/>
    <n v="27"/>
    <x v="1"/>
    <n v="2"/>
    <n v="25"/>
    <n v="50"/>
    <n v="0.75"/>
    <n v="1"/>
  </r>
  <r>
    <n v="546"/>
    <n v="11"/>
    <n v="10"/>
    <n v="2023"/>
    <s v="Wed"/>
    <s v="Oct"/>
    <d v="2023-10-11T00:00:00"/>
    <s v="CUST546"/>
    <x v="1"/>
    <x v="0"/>
    <n v="36"/>
    <x v="2"/>
    <n v="4"/>
    <n v="50"/>
    <n v="200"/>
    <n v="3"/>
    <n v="4"/>
  </r>
  <r>
    <n v="547"/>
    <n v="7"/>
    <n v="3"/>
    <n v="2023"/>
    <s v="Tue"/>
    <s v="Mar"/>
    <d v="2023-03-07T00:00:00"/>
    <s v="CUST547"/>
    <x v="0"/>
    <x v="2"/>
    <n v="63"/>
    <x v="1"/>
    <n v="4"/>
    <n v="500"/>
    <n v="2000"/>
    <n v="30"/>
    <n v="40"/>
  </r>
  <r>
    <n v="548"/>
    <n v="9"/>
    <n v="4"/>
    <n v="2023"/>
    <s v="Sun"/>
    <s v="Apr"/>
    <d v="2023-04-09T00:00:00"/>
    <s v="CUST548"/>
    <x v="1"/>
    <x v="2"/>
    <n v="51"/>
    <x v="1"/>
    <n v="2"/>
    <n v="30"/>
    <n v="60"/>
    <n v="0.89999999999999991"/>
    <n v="1.2"/>
  </r>
  <r>
    <n v="549"/>
    <n v="4"/>
    <n v="8"/>
    <n v="2023"/>
    <s v="Fri"/>
    <s v="Aug"/>
    <d v="2023-08-04T00:00:00"/>
    <s v="CUST549"/>
    <x v="1"/>
    <x v="2"/>
    <n v="50"/>
    <x v="0"/>
    <n v="2"/>
    <n v="50"/>
    <n v="100"/>
    <n v="1.5"/>
    <n v="2"/>
  </r>
  <r>
    <n v="550"/>
    <n v="7"/>
    <n v="12"/>
    <n v="2023"/>
    <s v="Thu"/>
    <s v="Dec"/>
    <d v="2023-12-07T00:00:00"/>
    <s v="CUST550"/>
    <x v="0"/>
    <x v="0"/>
    <n v="40"/>
    <x v="1"/>
    <n v="3"/>
    <n v="300"/>
    <n v="900"/>
    <n v="13.5"/>
    <n v="18"/>
  </r>
  <r>
    <n v="551"/>
    <n v="14"/>
    <n v="7"/>
    <n v="2023"/>
    <s v="Fri"/>
    <s v="Jul"/>
    <d v="2023-07-14T00:00:00"/>
    <s v="CUST551"/>
    <x v="0"/>
    <x v="0"/>
    <n v="45"/>
    <x v="2"/>
    <n v="3"/>
    <n v="300"/>
    <n v="900"/>
    <n v="13.5"/>
    <n v="18"/>
  </r>
  <r>
    <n v="552"/>
    <n v="13"/>
    <n v="12"/>
    <n v="2023"/>
    <s v="Wed"/>
    <s v="Dec"/>
    <d v="2023-12-13T00:00:00"/>
    <s v="CUST552"/>
    <x v="1"/>
    <x v="0"/>
    <n v="49"/>
    <x v="2"/>
    <n v="3"/>
    <n v="25"/>
    <n v="75"/>
    <n v="1.125"/>
    <n v="1.5"/>
  </r>
  <r>
    <n v="553"/>
    <n v="31"/>
    <n v="3"/>
    <n v="2023"/>
    <s v="Fri"/>
    <s v="Mar"/>
    <d v="2023-03-31T00:00:00"/>
    <s v="CUST553"/>
    <x v="0"/>
    <x v="1"/>
    <n v="24"/>
    <x v="1"/>
    <n v="4"/>
    <n v="300"/>
    <n v="1200"/>
    <n v="18"/>
    <n v="24"/>
  </r>
  <r>
    <n v="554"/>
    <n v="12"/>
    <n v="11"/>
    <n v="2023"/>
    <s v="Sun"/>
    <s v="Nov"/>
    <d v="2023-11-12T00:00:00"/>
    <s v="CUST554"/>
    <x v="1"/>
    <x v="0"/>
    <n v="46"/>
    <x v="0"/>
    <n v="3"/>
    <n v="50"/>
    <n v="150"/>
    <n v="2.25"/>
    <n v="3"/>
  </r>
  <r>
    <n v="555"/>
    <n v="19"/>
    <n v="10"/>
    <n v="2023"/>
    <s v="Thu"/>
    <s v="Oct"/>
    <d v="2023-10-19T00:00:00"/>
    <s v="CUST555"/>
    <x v="0"/>
    <x v="1"/>
    <n v="25"/>
    <x v="0"/>
    <n v="1"/>
    <n v="300"/>
    <n v="300"/>
    <n v="4.5"/>
    <n v="6"/>
  </r>
  <r>
    <n v="556"/>
    <n v="4"/>
    <n v="6"/>
    <n v="2023"/>
    <s v="Sun"/>
    <s v="Jun"/>
    <d v="2023-06-04T00:00:00"/>
    <s v="CUST556"/>
    <x v="1"/>
    <x v="1"/>
    <n v="18"/>
    <x v="2"/>
    <n v="1"/>
    <n v="50"/>
    <n v="50"/>
    <n v="0.75"/>
    <n v="1"/>
  </r>
  <r>
    <n v="557"/>
    <n v="27"/>
    <n v="7"/>
    <n v="2023"/>
    <s v="Thu"/>
    <s v="Jul"/>
    <d v="2023-07-27T00:00:00"/>
    <s v="CUST557"/>
    <x v="1"/>
    <x v="1"/>
    <n v="20"/>
    <x v="0"/>
    <n v="3"/>
    <n v="30"/>
    <n v="90"/>
    <n v="1.3499999999999999"/>
    <n v="1.8"/>
  </r>
  <r>
    <n v="558"/>
    <n v="8"/>
    <n v="10"/>
    <n v="2023"/>
    <s v="Sun"/>
    <s v="Oct"/>
    <d v="2023-10-08T00:00:00"/>
    <s v="CUST558"/>
    <x v="1"/>
    <x v="0"/>
    <n v="41"/>
    <x v="1"/>
    <n v="1"/>
    <n v="25"/>
    <n v="25"/>
    <n v="0.375"/>
    <n v="0.5"/>
  </r>
  <r>
    <n v="559"/>
    <n v="1"/>
    <n v="1"/>
    <n v="2023"/>
    <s v="Sun"/>
    <s v="Jan"/>
    <d v="2023-01-01T00:00:00"/>
    <s v="CUST559"/>
    <x v="1"/>
    <x v="0"/>
    <n v="40"/>
    <x v="1"/>
    <n v="4"/>
    <n v="300"/>
    <n v="1200"/>
    <n v="18"/>
    <n v="24"/>
  </r>
  <r>
    <n v="560"/>
    <n v="5"/>
    <n v="6"/>
    <n v="2023"/>
    <s v="Mon"/>
    <s v="Jun"/>
    <d v="2023-06-05T00:00:00"/>
    <s v="CUST560"/>
    <x v="1"/>
    <x v="1"/>
    <n v="25"/>
    <x v="2"/>
    <n v="1"/>
    <n v="50"/>
    <n v="50"/>
    <n v="0.75"/>
    <n v="1"/>
  </r>
  <r>
    <n v="561"/>
    <n v="27"/>
    <n v="5"/>
    <n v="2023"/>
    <s v="Sat"/>
    <s v="May"/>
    <d v="2023-05-27T00:00:00"/>
    <s v="CUST561"/>
    <x v="1"/>
    <x v="2"/>
    <n v="64"/>
    <x v="1"/>
    <n v="4"/>
    <n v="500"/>
    <n v="2000"/>
    <n v="30"/>
    <n v="40"/>
  </r>
  <r>
    <n v="562"/>
    <n v="18"/>
    <n v="4"/>
    <n v="2023"/>
    <s v="Tue"/>
    <s v="Apr"/>
    <d v="2023-04-18T00:00:00"/>
    <s v="CUST562"/>
    <x v="0"/>
    <x v="2"/>
    <n v="54"/>
    <x v="2"/>
    <n v="2"/>
    <n v="25"/>
    <n v="50"/>
    <n v="0.75"/>
    <n v="1"/>
  </r>
  <r>
    <n v="563"/>
    <n v="9"/>
    <n v="8"/>
    <n v="2023"/>
    <s v="Wed"/>
    <s v="Aug"/>
    <d v="2023-08-09T00:00:00"/>
    <s v="CUST563"/>
    <x v="0"/>
    <x v="1"/>
    <n v="20"/>
    <x v="1"/>
    <n v="2"/>
    <n v="30"/>
    <n v="60"/>
    <n v="0.89999999999999991"/>
    <n v="1.2"/>
  </r>
  <r>
    <n v="564"/>
    <n v="24"/>
    <n v="10"/>
    <n v="2023"/>
    <s v="Tue"/>
    <s v="Oct"/>
    <d v="2023-10-24T00:00:00"/>
    <s v="CUST564"/>
    <x v="0"/>
    <x v="2"/>
    <n v="50"/>
    <x v="2"/>
    <n v="2"/>
    <n v="50"/>
    <n v="100"/>
    <n v="1.5"/>
    <n v="2"/>
  </r>
  <r>
    <n v="565"/>
    <n v="7"/>
    <n v="11"/>
    <n v="2023"/>
    <s v="Tue"/>
    <s v="Nov"/>
    <d v="2023-11-07T00:00:00"/>
    <s v="CUST565"/>
    <x v="1"/>
    <x v="0"/>
    <n v="45"/>
    <x v="0"/>
    <n v="2"/>
    <n v="30"/>
    <n v="60"/>
    <n v="0.89999999999999991"/>
    <n v="1.2"/>
  </r>
  <r>
    <n v="566"/>
    <n v="2"/>
    <n v="12"/>
    <n v="2023"/>
    <s v="Sat"/>
    <s v="Dec"/>
    <d v="2023-12-02T00:00:00"/>
    <s v="CUST566"/>
    <x v="1"/>
    <x v="2"/>
    <n v="64"/>
    <x v="1"/>
    <n v="1"/>
    <n v="30"/>
    <n v="30"/>
    <n v="0.44999999999999996"/>
    <n v="0.6"/>
  </r>
  <r>
    <n v="567"/>
    <n v="14"/>
    <n v="6"/>
    <n v="2023"/>
    <s v="Wed"/>
    <s v="Jun"/>
    <d v="2023-06-14T00:00:00"/>
    <s v="CUST567"/>
    <x v="1"/>
    <x v="1"/>
    <n v="25"/>
    <x v="1"/>
    <n v="3"/>
    <n v="300"/>
    <n v="900"/>
    <n v="13.5"/>
    <n v="18"/>
  </r>
  <r>
    <n v="568"/>
    <n v="27"/>
    <n v="8"/>
    <n v="2023"/>
    <s v="Sun"/>
    <s v="Aug"/>
    <d v="2023-08-27T00:00:00"/>
    <s v="CUST568"/>
    <x v="1"/>
    <x v="2"/>
    <n v="51"/>
    <x v="2"/>
    <n v="1"/>
    <n v="300"/>
    <n v="300"/>
    <n v="4.5"/>
    <n v="6"/>
  </r>
  <r>
    <n v="569"/>
    <n v="15"/>
    <n v="8"/>
    <n v="2023"/>
    <s v="Tue"/>
    <s v="Aug"/>
    <d v="2023-08-15T00:00:00"/>
    <s v="CUST569"/>
    <x v="0"/>
    <x v="2"/>
    <n v="52"/>
    <x v="2"/>
    <n v="4"/>
    <n v="50"/>
    <n v="200"/>
    <n v="3"/>
    <n v="4"/>
  </r>
  <r>
    <n v="570"/>
    <n v="15"/>
    <n v="8"/>
    <n v="2023"/>
    <s v="Tue"/>
    <s v="Aug"/>
    <d v="2023-08-15T00:00:00"/>
    <s v="CUST570"/>
    <x v="0"/>
    <x v="0"/>
    <n v="49"/>
    <x v="1"/>
    <n v="1"/>
    <n v="500"/>
    <n v="500"/>
    <n v="7.5"/>
    <n v="10"/>
  </r>
  <r>
    <n v="571"/>
    <n v="12"/>
    <n v="12"/>
    <n v="2023"/>
    <s v="Tue"/>
    <s v="Dec"/>
    <d v="2023-12-12T00:00:00"/>
    <s v="CUST571"/>
    <x v="1"/>
    <x v="0"/>
    <n v="41"/>
    <x v="2"/>
    <n v="1"/>
    <n v="50"/>
    <n v="50"/>
    <n v="0.75"/>
    <n v="1"/>
  </r>
  <r>
    <n v="572"/>
    <n v="20"/>
    <n v="4"/>
    <n v="2023"/>
    <s v="Thu"/>
    <s v="Apr"/>
    <d v="2023-04-20T00:00:00"/>
    <s v="CUST572"/>
    <x v="0"/>
    <x v="0"/>
    <n v="31"/>
    <x v="1"/>
    <n v="4"/>
    <n v="500"/>
    <n v="2000"/>
    <n v="30"/>
    <n v="40"/>
  </r>
  <r>
    <n v="573"/>
    <n v="19"/>
    <n v="9"/>
    <n v="2023"/>
    <s v="Tue"/>
    <s v="Sep"/>
    <d v="2023-09-19T00:00:00"/>
    <s v="CUST573"/>
    <x v="0"/>
    <x v="0"/>
    <n v="49"/>
    <x v="0"/>
    <n v="2"/>
    <n v="30"/>
    <n v="60"/>
    <n v="0.89999999999999991"/>
    <n v="1.2"/>
  </r>
  <r>
    <n v="574"/>
    <n v="31"/>
    <n v="8"/>
    <n v="2023"/>
    <s v="Thu"/>
    <s v="Aug"/>
    <d v="2023-08-31T00:00:00"/>
    <s v="CUST574"/>
    <x v="1"/>
    <x v="2"/>
    <n v="63"/>
    <x v="2"/>
    <n v="2"/>
    <n v="25"/>
    <n v="50"/>
    <n v="0.75"/>
    <n v="1"/>
  </r>
  <r>
    <n v="575"/>
    <n v="28"/>
    <n v="3"/>
    <n v="2023"/>
    <s v="Tue"/>
    <s v="Mar"/>
    <d v="2023-03-28T00:00:00"/>
    <s v="CUST575"/>
    <x v="0"/>
    <x v="2"/>
    <n v="60"/>
    <x v="1"/>
    <n v="2"/>
    <n v="50"/>
    <n v="100"/>
    <n v="1.5"/>
    <n v="2"/>
  </r>
  <r>
    <n v="576"/>
    <n v="4"/>
    <n v="12"/>
    <n v="2023"/>
    <s v="Mon"/>
    <s v="Dec"/>
    <d v="2023-12-04T00:00:00"/>
    <s v="CUST576"/>
    <x v="1"/>
    <x v="0"/>
    <n v="33"/>
    <x v="0"/>
    <n v="3"/>
    <n v="50"/>
    <n v="150"/>
    <n v="2.25"/>
    <n v="3"/>
  </r>
  <r>
    <n v="577"/>
    <n v="13"/>
    <n v="2"/>
    <n v="2023"/>
    <s v="Mon"/>
    <s v="Feb"/>
    <d v="2023-02-13T00:00:00"/>
    <s v="CUST577"/>
    <x v="0"/>
    <x v="1"/>
    <n v="21"/>
    <x v="0"/>
    <n v="4"/>
    <n v="500"/>
    <n v="2000"/>
    <n v="30"/>
    <n v="40"/>
  </r>
  <r>
    <n v="578"/>
    <n v="26"/>
    <n v="5"/>
    <n v="2023"/>
    <s v="Fri"/>
    <s v="May"/>
    <d v="2023-05-26T00:00:00"/>
    <s v="CUST578"/>
    <x v="1"/>
    <x v="2"/>
    <n v="54"/>
    <x v="1"/>
    <n v="4"/>
    <n v="30"/>
    <n v="120"/>
    <n v="1.7999999999999998"/>
    <n v="2.4"/>
  </r>
  <r>
    <n v="579"/>
    <n v="21"/>
    <n v="9"/>
    <n v="2023"/>
    <s v="Thu"/>
    <s v="Sep"/>
    <d v="2023-09-21T00:00:00"/>
    <s v="CUST579"/>
    <x v="1"/>
    <x v="0"/>
    <n v="38"/>
    <x v="2"/>
    <n v="1"/>
    <n v="30"/>
    <n v="30"/>
    <n v="0.44999999999999996"/>
    <n v="0.6"/>
  </r>
  <r>
    <n v="580"/>
    <n v="6"/>
    <n v="12"/>
    <n v="2023"/>
    <s v="Wed"/>
    <s v="Dec"/>
    <d v="2023-12-06T00:00:00"/>
    <s v="CUST580"/>
    <x v="1"/>
    <x v="0"/>
    <n v="31"/>
    <x v="1"/>
    <n v="3"/>
    <n v="500"/>
    <n v="1500"/>
    <n v="22.5"/>
    <n v="30"/>
  </r>
  <r>
    <n v="581"/>
    <n v="21"/>
    <n v="11"/>
    <n v="2023"/>
    <s v="Tue"/>
    <s v="Nov"/>
    <d v="2023-11-21T00:00:00"/>
    <s v="CUST581"/>
    <x v="1"/>
    <x v="0"/>
    <n v="48"/>
    <x v="0"/>
    <n v="2"/>
    <n v="30"/>
    <n v="60"/>
    <n v="0.89999999999999991"/>
    <n v="1.2"/>
  </r>
  <r>
    <n v="582"/>
    <n v="14"/>
    <n v="11"/>
    <n v="2023"/>
    <s v="Tue"/>
    <s v="Nov"/>
    <d v="2023-11-14T00:00:00"/>
    <s v="CUST582"/>
    <x v="0"/>
    <x v="0"/>
    <n v="35"/>
    <x v="1"/>
    <n v="3"/>
    <n v="300"/>
    <n v="900"/>
    <n v="13.5"/>
    <n v="18"/>
  </r>
  <r>
    <n v="583"/>
    <n v="21"/>
    <n v="6"/>
    <n v="2023"/>
    <s v="Wed"/>
    <s v="Jun"/>
    <d v="2023-06-21T00:00:00"/>
    <s v="CUST583"/>
    <x v="1"/>
    <x v="1"/>
    <n v="24"/>
    <x v="2"/>
    <n v="4"/>
    <n v="25"/>
    <n v="100"/>
    <n v="1.5"/>
    <n v="2"/>
  </r>
  <r>
    <n v="584"/>
    <n v="17"/>
    <n v="2"/>
    <n v="2023"/>
    <s v="Fri"/>
    <s v="Feb"/>
    <d v="2023-02-17T00:00:00"/>
    <s v="CUST584"/>
    <x v="1"/>
    <x v="1"/>
    <n v="27"/>
    <x v="0"/>
    <n v="4"/>
    <n v="50"/>
    <n v="200"/>
    <n v="3"/>
    <n v="4"/>
  </r>
  <r>
    <n v="585"/>
    <n v="1"/>
    <n v="5"/>
    <n v="2023"/>
    <s v="Mon"/>
    <s v="May"/>
    <d v="2023-05-01T00:00:00"/>
    <s v="CUST585"/>
    <x v="1"/>
    <x v="1"/>
    <n v="24"/>
    <x v="1"/>
    <n v="1"/>
    <n v="25"/>
    <n v="25"/>
    <n v="0.375"/>
    <n v="0.5"/>
  </r>
  <r>
    <n v="586"/>
    <n v="11"/>
    <n v="12"/>
    <n v="2023"/>
    <s v="Mon"/>
    <s v="Dec"/>
    <d v="2023-12-11T00:00:00"/>
    <s v="CUST586"/>
    <x v="0"/>
    <x v="2"/>
    <n v="50"/>
    <x v="2"/>
    <n v="1"/>
    <n v="50"/>
    <n v="50"/>
    <n v="0.75"/>
    <n v="1"/>
  </r>
  <r>
    <n v="587"/>
    <n v="8"/>
    <n v="6"/>
    <n v="2023"/>
    <s v="Thu"/>
    <s v="Jun"/>
    <d v="2023-06-08T00:00:00"/>
    <s v="CUST587"/>
    <x v="1"/>
    <x v="0"/>
    <n v="40"/>
    <x v="0"/>
    <n v="4"/>
    <n v="300"/>
    <n v="1200"/>
    <n v="18"/>
    <n v="24"/>
  </r>
  <r>
    <n v="588"/>
    <n v="26"/>
    <n v="4"/>
    <n v="2023"/>
    <s v="Wed"/>
    <s v="Apr"/>
    <d v="2023-04-26T00:00:00"/>
    <s v="CUST588"/>
    <x v="0"/>
    <x v="0"/>
    <n v="38"/>
    <x v="2"/>
    <n v="2"/>
    <n v="30"/>
    <n v="60"/>
    <n v="0.89999999999999991"/>
    <n v="1.2"/>
  </r>
  <r>
    <n v="589"/>
    <n v="12"/>
    <n v="4"/>
    <n v="2023"/>
    <s v="Wed"/>
    <s v="Apr"/>
    <d v="2023-04-12T00:00:00"/>
    <s v="CUST589"/>
    <x v="1"/>
    <x v="0"/>
    <n v="36"/>
    <x v="0"/>
    <n v="2"/>
    <n v="500"/>
    <n v="1000"/>
    <n v="15"/>
    <n v="20"/>
  </r>
  <r>
    <n v="590"/>
    <n v="17"/>
    <n v="3"/>
    <n v="2023"/>
    <s v="Fri"/>
    <s v="Mar"/>
    <d v="2023-03-17T00:00:00"/>
    <s v="CUST590"/>
    <x v="0"/>
    <x v="0"/>
    <n v="36"/>
    <x v="1"/>
    <n v="3"/>
    <n v="300"/>
    <n v="900"/>
    <n v="13.5"/>
    <n v="18"/>
  </r>
  <r>
    <n v="591"/>
    <n v="13"/>
    <n v="1"/>
    <n v="2023"/>
    <s v="Fri"/>
    <s v="Jan"/>
    <d v="2023-01-13T00:00:00"/>
    <s v="CUST591"/>
    <x v="0"/>
    <x v="2"/>
    <n v="53"/>
    <x v="2"/>
    <n v="4"/>
    <n v="25"/>
    <n v="100"/>
    <n v="1.5"/>
    <n v="2"/>
  </r>
  <r>
    <n v="592"/>
    <n v="24"/>
    <n v="1"/>
    <n v="2023"/>
    <s v="Tue"/>
    <s v="Jan"/>
    <d v="2023-01-24T00:00:00"/>
    <s v="CUST592"/>
    <x v="1"/>
    <x v="0"/>
    <n v="46"/>
    <x v="0"/>
    <n v="4"/>
    <n v="500"/>
    <n v="2000"/>
    <n v="30"/>
    <n v="40"/>
  </r>
  <r>
    <n v="593"/>
    <n v="6"/>
    <n v="5"/>
    <n v="2023"/>
    <s v="Sat"/>
    <s v="May"/>
    <d v="2023-05-06T00:00:00"/>
    <s v="CUST593"/>
    <x v="0"/>
    <x v="0"/>
    <n v="35"/>
    <x v="2"/>
    <n v="2"/>
    <n v="30"/>
    <n v="60"/>
    <n v="0.89999999999999991"/>
    <n v="1.2"/>
  </r>
  <r>
    <n v="594"/>
    <n v="1"/>
    <n v="9"/>
    <n v="2023"/>
    <s v="Fri"/>
    <s v="Sep"/>
    <d v="2023-09-01T00:00:00"/>
    <s v="CUST594"/>
    <x v="1"/>
    <x v="1"/>
    <n v="19"/>
    <x v="2"/>
    <n v="2"/>
    <n v="300"/>
    <n v="600"/>
    <n v="9"/>
    <n v="12"/>
  </r>
  <r>
    <n v="595"/>
    <n v="9"/>
    <n v="11"/>
    <n v="2023"/>
    <s v="Thu"/>
    <s v="Nov"/>
    <d v="2023-11-09T00:00:00"/>
    <s v="CUST595"/>
    <x v="1"/>
    <x v="1"/>
    <n v="18"/>
    <x v="1"/>
    <n v="4"/>
    <n v="500"/>
    <n v="2000"/>
    <n v="30"/>
    <n v="40"/>
  </r>
  <r>
    <n v="596"/>
    <n v="7"/>
    <n v="2"/>
    <n v="2023"/>
    <s v="Tue"/>
    <s v="Feb"/>
    <d v="2023-02-07T00:00:00"/>
    <s v="CUST596"/>
    <x v="1"/>
    <x v="2"/>
    <n v="64"/>
    <x v="2"/>
    <n v="1"/>
    <n v="300"/>
    <n v="300"/>
    <n v="4.5"/>
    <n v="6"/>
  </r>
  <r>
    <n v="597"/>
    <n v="22"/>
    <n v="8"/>
    <n v="2023"/>
    <s v="Tue"/>
    <s v="Aug"/>
    <d v="2023-08-22T00:00:00"/>
    <s v="CUST597"/>
    <x v="0"/>
    <x v="1"/>
    <n v="22"/>
    <x v="0"/>
    <n v="4"/>
    <n v="300"/>
    <n v="1200"/>
    <n v="18"/>
    <n v="24"/>
  </r>
  <r>
    <n v="598"/>
    <n v="1"/>
    <n v="8"/>
    <n v="2023"/>
    <s v="Tue"/>
    <s v="Aug"/>
    <d v="2023-08-01T00:00:00"/>
    <s v="CUST598"/>
    <x v="0"/>
    <x v="0"/>
    <n v="37"/>
    <x v="0"/>
    <n v="4"/>
    <n v="30"/>
    <n v="120"/>
    <n v="1.7999999999999998"/>
    <n v="2.4"/>
  </r>
  <r>
    <n v="599"/>
    <n v="19"/>
    <n v="11"/>
    <n v="2023"/>
    <s v="Sun"/>
    <s v="Nov"/>
    <d v="2023-11-19T00:00:00"/>
    <s v="CUST599"/>
    <x v="1"/>
    <x v="1"/>
    <n v="28"/>
    <x v="0"/>
    <n v="2"/>
    <n v="50"/>
    <n v="100"/>
    <n v="1.5"/>
    <n v="2"/>
  </r>
  <r>
    <n v="600"/>
    <n v="22"/>
    <n v="10"/>
    <n v="2023"/>
    <s v="Sun"/>
    <s v="Oct"/>
    <d v="2023-10-22T00:00:00"/>
    <s v="CUST600"/>
    <x v="1"/>
    <x v="2"/>
    <n v="59"/>
    <x v="0"/>
    <n v="2"/>
    <n v="500"/>
    <n v="1000"/>
    <n v="15"/>
    <n v="20"/>
  </r>
  <r>
    <n v="601"/>
    <n v="10"/>
    <n v="4"/>
    <n v="2023"/>
    <s v="Mon"/>
    <s v="Apr"/>
    <d v="2023-04-10T00:00:00"/>
    <s v="CUST601"/>
    <x v="0"/>
    <x v="1"/>
    <n v="19"/>
    <x v="1"/>
    <n v="1"/>
    <n v="30"/>
    <n v="30"/>
    <n v="0.44999999999999996"/>
    <n v="0.6"/>
  </r>
  <r>
    <n v="602"/>
    <n v="23"/>
    <n v="12"/>
    <n v="2023"/>
    <s v="Sat"/>
    <s v="Dec"/>
    <d v="2023-12-23T00:00:00"/>
    <s v="CUST602"/>
    <x v="1"/>
    <x v="1"/>
    <n v="20"/>
    <x v="2"/>
    <n v="1"/>
    <n v="300"/>
    <n v="300"/>
    <n v="4.5"/>
    <n v="6"/>
  </r>
  <r>
    <n v="603"/>
    <n v="16"/>
    <n v="7"/>
    <n v="2023"/>
    <s v="Sun"/>
    <s v="Jul"/>
    <d v="2023-07-16T00:00:00"/>
    <s v="CUST603"/>
    <x v="1"/>
    <x v="0"/>
    <n v="40"/>
    <x v="1"/>
    <n v="3"/>
    <n v="30"/>
    <n v="90"/>
    <n v="1.3499999999999999"/>
    <n v="1.8"/>
  </r>
  <r>
    <n v="604"/>
    <n v="11"/>
    <n v="9"/>
    <n v="2023"/>
    <s v="Mon"/>
    <s v="Sep"/>
    <d v="2023-09-11T00:00:00"/>
    <s v="CUST604"/>
    <x v="1"/>
    <x v="1"/>
    <n v="29"/>
    <x v="2"/>
    <n v="4"/>
    <n v="50"/>
    <n v="200"/>
    <n v="3"/>
    <n v="4"/>
  </r>
  <r>
    <n v="605"/>
    <n v="24"/>
    <n v="7"/>
    <n v="2023"/>
    <s v="Mon"/>
    <s v="Jul"/>
    <d v="2023-07-24T00:00:00"/>
    <s v="CUST605"/>
    <x v="0"/>
    <x v="0"/>
    <n v="37"/>
    <x v="2"/>
    <n v="2"/>
    <n v="500"/>
    <n v="1000"/>
    <n v="15"/>
    <n v="20"/>
  </r>
  <r>
    <n v="606"/>
    <n v="5"/>
    <n v="5"/>
    <n v="2023"/>
    <s v="Fri"/>
    <s v="May"/>
    <d v="2023-05-05T00:00:00"/>
    <s v="CUST606"/>
    <x v="0"/>
    <x v="1"/>
    <n v="22"/>
    <x v="2"/>
    <n v="1"/>
    <n v="50"/>
    <n v="50"/>
    <n v="0.75"/>
    <n v="1"/>
  </r>
  <r>
    <n v="607"/>
    <n v="17"/>
    <n v="3"/>
    <n v="2023"/>
    <s v="Fri"/>
    <s v="Mar"/>
    <d v="2023-03-17T00:00:00"/>
    <s v="CUST607"/>
    <x v="0"/>
    <x v="2"/>
    <n v="54"/>
    <x v="1"/>
    <n v="3"/>
    <n v="25"/>
    <n v="75"/>
    <n v="1.125"/>
    <n v="1.5"/>
  </r>
  <r>
    <n v="608"/>
    <n v="2"/>
    <n v="12"/>
    <n v="2023"/>
    <s v="Sat"/>
    <s v="Dec"/>
    <d v="2023-12-02T00:00:00"/>
    <s v="CUST608"/>
    <x v="1"/>
    <x v="2"/>
    <n v="55"/>
    <x v="2"/>
    <n v="3"/>
    <n v="500"/>
    <n v="1500"/>
    <n v="22.5"/>
    <n v="30"/>
  </r>
  <r>
    <n v="609"/>
    <n v="19"/>
    <n v="12"/>
    <n v="2023"/>
    <s v="Tue"/>
    <s v="Dec"/>
    <d v="2023-12-19T00:00:00"/>
    <s v="CUST609"/>
    <x v="1"/>
    <x v="0"/>
    <n v="47"/>
    <x v="1"/>
    <n v="2"/>
    <n v="50"/>
    <n v="100"/>
    <n v="1.5"/>
    <n v="2"/>
  </r>
  <r>
    <n v="610"/>
    <n v="3"/>
    <n v="1"/>
    <n v="2023"/>
    <s v="Tue"/>
    <s v="Jan"/>
    <d v="2023-01-03T00:00:00"/>
    <s v="CUST610"/>
    <x v="1"/>
    <x v="1"/>
    <n v="26"/>
    <x v="0"/>
    <n v="2"/>
    <n v="300"/>
    <n v="600"/>
    <n v="9"/>
    <n v="12"/>
  </r>
  <r>
    <n v="611"/>
    <n v="24"/>
    <n v="2"/>
    <n v="2023"/>
    <s v="Fri"/>
    <s v="Feb"/>
    <d v="2023-02-24T00:00:00"/>
    <s v="CUST611"/>
    <x v="0"/>
    <x v="2"/>
    <n v="51"/>
    <x v="0"/>
    <n v="3"/>
    <n v="500"/>
    <n v="1500"/>
    <n v="22.5"/>
    <n v="30"/>
  </r>
  <r>
    <n v="612"/>
    <n v="6"/>
    <n v="8"/>
    <n v="2023"/>
    <s v="Sun"/>
    <s v="Aug"/>
    <d v="2023-08-06T00:00:00"/>
    <s v="CUST612"/>
    <x v="1"/>
    <x v="2"/>
    <n v="61"/>
    <x v="2"/>
    <n v="1"/>
    <n v="500"/>
    <n v="500"/>
    <n v="7.5"/>
    <n v="10"/>
  </r>
  <r>
    <n v="613"/>
    <n v="23"/>
    <n v="4"/>
    <n v="2023"/>
    <s v="Sun"/>
    <s v="Apr"/>
    <d v="2023-04-23T00:00:00"/>
    <s v="CUST613"/>
    <x v="1"/>
    <x v="2"/>
    <n v="52"/>
    <x v="1"/>
    <n v="3"/>
    <n v="30"/>
    <n v="90"/>
    <n v="1.3499999999999999"/>
    <n v="1.8"/>
  </r>
  <r>
    <n v="614"/>
    <n v="1"/>
    <n v="4"/>
    <n v="2023"/>
    <s v="Sat"/>
    <s v="Apr"/>
    <d v="2023-04-01T00:00:00"/>
    <s v="CUST614"/>
    <x v="1"/>
    <x v="0"/>
    <n v="39"/>
    <x v="0"/>
    <n v="4"/>
    <n v="300"/>
    <n v="1200"/>
    <n v="18"/>
    <n v="24"/>
  </r>
  <r>
    <n v="615"/>
    <n v="23"/>
    <n v="12"/>
    <n v="2023"/>
    <s v="Sat"/>
    <s v="Dec"/>
    <d v="2023-12-23T00:00:00"/>
    <s v="CUST615"/>
    <x v="1"/>
    <x v="2"/>
    <n v="61"/>
    <x v="1"/>
    <n v="4"/>
    <n v="25"/>
    <n v="100"/>
    <n v="1.5"/>
    <n v="2"/>
  </r>
  <r>
    <n v="616"/>
    <n v="23"/>
    <n v="9"/>
    <n v="2023"/>
    <s v="Sat"/>
    <s v="Sep"/>
    <d v="2023-09-23T00:00:00"/>
    <s v="CUST616"/>
    <x v="0"/>
    <x v="0"/>
    <n v="41"/>
    <x v="1"/>
    <n v="2"/>
    <n v="50"/>
    <n v="100"/>
    <n v="1.5"/>
    <n v="2"/>
  </r>
  <r>
    <n v="617"/>
    <n v="26"/>
    <n v="8"/>
    <n v="2023"/>
    <s v="Sat"/>
    <s v="Aug"/>
    <d v="2023-08-26T00:00:00"/>
    <s v="CUST617"/>
    <x v="0"/>
    <x v="0"/>
    <n v="34"/>
    <x v="2"/>
    <n v="1"/>
    <n v="30"/>
    <n v="30"/>
    <n v="0.44999999999999996"/>
    <n v="0.6"/>
  </r>
  <r>
    <n v="618"/>
    <n v="26"/>
    <n v="1"/>
    <n v="2023"/>
    <s v="Thu"/>
    <s v="Jan"/>
    <d v="2023-01-26T00:00:00"/>
    <s v="CUST618"/>
    <x v="1"/>
    <x v="1"/>
    <n v="27"/>
    <x v="0"/>
    <n v="1"/>
    <n v="50"/>
    <n v="50"/>
    <n v="0.75"/>
    <n v="1"/>
  </r>
  <r>
    <n v="619"/>
    <n v="13"/>
    <n v="10"/>
    <n v="2023"/>
    <s v="Fri"/>
    <s v="Oct"/>
    <d v="2023-10-13T00:00:00"/>
    <s v="CUST619"/>
    <x v="0"/>
    <x v="0"/>
    <n v="47"/>
    <x v="2"/>
    <n v="4"/>
    <n v="25"/>
    <n v="100"/>
    <n v="1.5"/>
    <n v="2"/>
  </r>
  <r>
    <n v="620"/>
    <n v="8"/>
    <n v="5"/>
    <n v="2023"/>
    <s v="Mon"/>
    <s v="May"/>
    <d v="2023-05-08T00:00:00"/>
    <s v="CUST620"/>
    <x v="0"/>
    <x v="2"/>
    <n v="63"/>
    <x v="2"/>
    <n v="3"/>
    <n v="25"/>
    <n v="75"/>
    <n v="1.125"/>
    <n v="1.5"/>
  </r>
  <r>
    <n v="621"/>
    <n v="4"/>
    <n v="3"/>
    <n v="2023"/>
    <s v="Sat"/>
    <s v="Mar"/>
    <d v="2023-03-04T00:00:00"/>
    <s v="CUST621"/>
    <x v="1"/>
    <x v="0"/>
    <n v="40"/>
    <x v="0"/>
    <n v="2"/>
    <n v="500"/>
    <n v="1000"/>
    <n v="15"/>
    <n v="20"/>
  </r>
  <r>
    <n v="622"/>
    <n v="22"/>
    <n v="8"/>
    <n v="2023"/>
    <s v="Tue"/>
    <s v="Aug"/>
    <d v="2023-08-22T00:00:00"/>
    <s v="CUST622"/>
    <x v="1"/>
    <x v="0"/>
    <n v="49"/>
    <x v="0"/>
    <n v="3"/>
    <n v="25"/>
    <n v="75"/>
    <n v="1.125"/>
    <n v="1.5"/>
  </r>
  <r>
    <n v="623"/>
    <n v="10"/>
    <n v="3"/>
    <n v="2023"/>
    <s v="Fri"/>
    <s v="Mar"/>
    <d v="2023-03-10T00:00:00"/>
    <s v="CUST623"/>
    <x v="0"/>
    <x v="0"/>
    <n v="34"/>
    <x v="1"/>
    <n v="3"/>
    <n v="50"/>
    <n v="150"/>
    <n v="2.25"/>
    <n v="3"/>
  </r>
  <r>
    <n v="624"/>
    <n v="26"/>
    <n v="8"/>
    <n v="2023"/>
    <s v="Sat"/>
    <s v="Aug"/>
    <d v="2023-08-26T00:00:00"/>
    <s v="CUST624"/>
    <x v="1"/>
    <x v="0"/>
    <n v="34"/>
    <x v="0"/>
    <n v="3"/>
    <n v="300"/>
    <n v="900"/>
    <n v="13.5"/>
    <n v="18"/>
  </r>
  <r>
    <n v="625"/>
    <n v="8"/>
    <n v="12"/>
    <n v="2023"/>
    <s v="Fri"/>
    <s v="Dec"/>
    <d v="2023-12-08T00:00:00"/>
    <s v="CUST625"/>
    <x v="0"/>
    <x v="0"/>
    <n v="31"/>
    <x v="1"/>
    <n v="1"/>
    <n v="300"/>
    <n v="300"/>
    <n v="4.5"/>
    <n v="6"/>
  </r>
  <r>
    <n v="626"/>
    <n v="29"/>
    <n v="9"/>
    <n v="2023"/>
    <s v="Fri"/>
    <s v="Sep"/>
    <d v="2023-09-29T00:00:00"/>
    <s v="CUST626"/>
    <x v="1"/>
    <x v="1"/>
    <n v="26"/>
    <x v="1"/>
    <n v="4"/>
    <n v="500"/>
    <n v="2000"/>
    <n v="30"/>
    <n v="40"/>
  </r>
  <r>
    <n v="627"/>
    <n v="14"/>
    <n v="10"/>
    <n v="2023"/>
    <s v="Sat"/>
    <s v="Oct"/>
    <d v="2023-10-14T00:00:00"/>
    <s v="CUST627"/>
    <x v="0"/>
    <x v="2"/>
    <n v="57"/>
    <x v="1"/>
    <n v="1"/>
    <n v="50"/>
    <n v="50"/>
    <n v="0.75"/>
    <n v="1"/>
  </r>
  <r>
    <n v="628"/>
    <n v="1"/>
    <n v="11"/>
    <n v="2023"/>
    <s v="Wed"/>
    <s v="Nov"/>
    <d v="2023-11-01T00:00:00"/>
    <s v="CUST628"/>
    <x v="1"/>
    <x v="1"/>
    <n v="19"/>
    <x v="0"/>
    <n v="4"/>
    <n v="50"/>
    <n v="200"/>
    <n v="3"/>
    <n v="4"/>
  </r>
  <r>
    <n v="629"/>
    <n v="12"/>
    <n v="6"/>
    <n v="2023"/>
    <s v="Mon"/>
    <s v="Jun"/>
    <d v="2023-06-12T00:00:00"/>
    <s v="CUST629"/>
    <x v="0"/>
    <x v="2"/>
    <n v="62"/>
    <x v="2"/>
    <n v="2"/>
    <n v="25"/>
    <n v="50"/>
    <n v="0.75"/>
    <n v="1"/>
  </r>
  <r>
    <n v="630"/>
    <n v="15"/>
    <n v="8"/>
    <n v="2023"/>
    <s v="Tue"/>
    <s v="Aug"/>
    <d v="2023-08-15T00:00:00"/>
    <s v="CUST630"/>
    <x v="0"/>
    <x v="0"/>
    <n v="42"/>
    <x v="1"/>
    <n v="2"/>
    <n v="50"/>
    <n v="100"/>
    <n v="1.5"/>
    <n v="2"/>
  </r>
  <r>
    <n v="631"/>
    <n v="10"/>
    <n v="11"/>
    <n v="2023"/>
    <s v="Fri"/>
    <s v="Nov"/>
    <d v="2023-11-10T00:00:00"/>
    <s v="CUST631"/>
    <x v="0"/>
    <x v="2"/>
    <n v="56"/>
    <x v="2"/>
    <n v="3"/>
    <n v="30"/>
    <n v="90"/>
    <n v="1.3499999999999999"/>
    <n v="1.8"/>
  </r>
  <r>
    <n v="632"/>
    <n v="16"/>
    <n v="9"/>
    <n v="2023"/>
    <s v="Sat"/>
    <s v="Sep"/>
    <d v="2023-09-16T00:00:00"/>
    <s v="CUST632"/>
    <x v="1"/>
    <x v="1"/>
    <n v="26"/>
    <x v="2"/>
    <n v="4"/>
    <n v="25"/>
    <n v="100"/>
    <n v="1.5"/>
    <n v="2"/>
  </r>
  <r>
    <n v="633"/>
    <n v="7"/>
    <n v="8"/>
    <n v="2023"/>
    <s v="Mon"/>
    <s v="Aug"/>
    <d v="2023-08-07T00:00:00"/>
    <s v="CUST633"/>
    <x v="0"/>
    <x v="0"/>
    <n v="39"/>
    <x v="0"/>
    <n v="4"/>
    <n v="30"/>
    <n v="120"/>
    <n v="1.7999999999999998"/>
    <n v="2.4"/>
  </r>
  <r>
    <n v="634"/>
    <n v="8"/>
    <n v="10"/>
    <n v="2023"/>
    <s v="Sun"/>
    <s v="Oct"/>
    <d v="2023-10-08T00:00:00"/>
    <s v="CUST634"/>
    <x v="0"/>
    <x v="2"/>
    <n v="60"/>
    <x v="2"/>
    <n v="4"/>
    <n v="500"/>
    <n v="2000"/>
    <n v="30"/>
    <n v="40"/>
  </r>
  <r>
    <n v="635"/>
    <n v="17"/>
    <n v="8"/>
    <n v="2023"/>
    <s v="Thu"/>
    <s v="Aug"/>
    <d v="2023-08-17T00:00:00"/>
    <s v="CUST635"/>
    <x v="1"/>
    <x v="2"/>
    <n v="63"/>
    <x v="2"/>
    <n v="3"/>
    <n v="300"/>
    <n v="900"/>
    <n v="13.5"/>
    <n v="18"/>
  </r>
  <r>
    <n v="636"/>
    <n v="23"/>
    <n v="3"/>
    <n v="2023"/>
    <s v="Thu"/>
    <s v="Mar"/>
    <d v="2023-03-23T00:00:00"/>
    <s v="CUST636"/>
    <x v="1"/>
    <x v="1"/>
    <n v="21"/>
    <x v="0"/>
    <n v="3"/>
    <n v="500"/>
    <n v="1500"/>
    <n v="22.5"/>
    <n v="30"/>
  </r>
  <r>
    <n v="637"/>
    <n v="1"/>
    <n v="9"/>
    <n v="2023"/>
    <s v="Fri"/>
    <s v="Sep"/>
    <d v="2023-09-01T00:00:00"/>
    <s v="CUST637"/>
    <x v="0"/>
    <x v="0"/>
    <n v="43"/>
    <x v="1"/>
    <n v="2"/>
    <n v="300"/>
    <n v="600"/>
    <n v="9"/>
    <n v="12"/>
  </r>
  <r>
    <n v="638"/>
    <n v="19"/>
    <n v="8"/>
    <n v="2023"/>
    <s v="Sat"/>
    <s v="Aug"/>
    <d v="2023-08-19T00:00:00"/>
    <s v="CUST638"/>
    <x v="0"/>
    <x v="0"/>
    <n v="46"/>
    <x v="2"/>
    <n v="1"/>
    <n v="500"/>
    <n v="500"/>
    <n v="7.5"/>
    <n v="10"/>
  </r>
  <r>
    <n v="639"/>
    <n v="13"/>
    <n v="5"/>
    <n v="2023"/>
    <s v="Sat"/>
    <s v="May"/>
    <d v="2023-05-13T00:00:00"/>
    <s v="CUST639"/>
    <x v="1"/>
    <x v="2"/>
    <n v="62"/>
    <x v="0"/>
    <n v="4"/>
    <n v="50"/>
    <n v="200"/>
    <n v="3"/>
    <n v="4"/>
  </r>
  <r>
    <n v="640"/>
    <n v="7"/>
    <n v="5"/>
    <n v="2023"/>
    <s v="Sun"/>
    <s v="May"/>
    <d v="2023-05-07T00:00:00"/>
    <s v="CUST640"/>
    <x v="1"/>
    <x v="2"/>
    <n v="51"/>
    <x v="2"/>
    <n v="4"/>
    <n v="30"/>
    <n v="120"/>
    <n v="1.7999999999999998"/>
    <n v="2.4"/>
  </r>
  <r>
    <n v="641"/>
    <n v="23"/>
    <n v="11"/>
    <n v="2023"/>
    <s v="Thu"/>
    <s v="Nov"/>
    <d v="2023-11-23T00:00:00"/>
    <s v="CUST641"/>
    <x v="1"/>
    <x v="0"/>
    <n v="40"/>
    <x v="2"/>
    <n v="1"/>
    <n v="300"/>
    <n v="300"/>
    <n v="4.5"/>
    <n v="6"/>
  </r>
  <r>
    <n v="642"/>
    <n v="22"/>
    <n v="5"/>
    <n v="2023"/>
    <s v="Mon"/>
    <s v="May"/>
    <d v="2023-05-22T00:00:00"/>
    <s v="CUST642"/>
    <x v="1"/>
    <x v="2"/>
    <n v="54"/>
    <x v="1"/>
    <n v="4"/>
    <n v="25"/>
    <n v="100"/>
    <n v="1.5"/>
    <n v="2"/>
  </r>
  <r>
    <n v="643"/>
    <n v="24"/>
    <n v="9"/>
    <n v="2023"/>
    <s v="Sun"/>
    <s v="Sep"/>
    <d v="2023-09-24T00:00:00"/>
    <s v="CUST643"/>
    <x v="1"/>
    <x v="1"/>
    <n v="28"/>
    <x v="2"/>
    <n v="3"/>
    <n v="30"/>
    <n v="90"/>
    <n v="1.3499999999999999"/>
    <n v="1.8"/>
  </r>
  <r>
    <n v="644"/>
    <n v="6"/>
    <n v="9"/>
    <n v="2023"/>
    <s v="Wed"/>
    <s v="Sep"/>
    <d v="2023-09-06T00:00:00"/>
    <s v="CUST644"/>
    <x v="0"/>
    <x v="1"/>
    <n v="23"/>
    <x v="0"/>
    <n v="3"/>
    <n v="25"/>
    <n v="75"/>
    <n v="1.125"/>
    <n v="1.5"/>
  </r>
  <r>
    <n v="645"/>
    <n v="17"/>
    <n v="11"/>
    <n v="2023"/>
    <s v="Fri"/>
    <s v="Nov"/>
    <d v="2023-11-17T00:00:00"/>
    <s v="CUST645"/>
    <x v="1"/>
    <x v="0"/>
    <n v="35"/>
    <x v="2"/>
    <n v="4"/>
    <n v="30"/>
    <n v="120"/>
    <n v="1.7999999999999998"/>
    <n v="2.4"/>
  </r>
  <r>
    <n v="646"/>
    <n v="3"/>
    <n v="5"/>
    <n v="2023"/>
    <s v="Wed"/>
    <s v="May"/>
    <d v="2023-05-03T00:00:00"/>
    <s v="CUST646"/>
    <x v="0"/>
    <x v="0"/>
    <n v="38"/>
    <x v="1"/>
    <n v="3"/>
    <n v="30"/>
    <n v="90"/>
    <n v="1.3499999999999999"/>
    <n v="1.8"/>
  </r>
  <r>
    <n v="647"/>
    <n v="21"/>
    <n v="5"/>
    <n v="2023"/>
    <s v="Sun"/>
    <s v="May"/>
    <d v="2023-05-21T00:00:00"/>
    <s v="CUST647"/>
    <x v="0"/>
    <x v="2"/>
    <n v="59"/>
    <x v="1"/>
    <n v="3"/>
    <n v="500"/>
    <n v="1500"/>
    <n v="22.5"/>
    <n v="30"/>
  </r>
  <r>
    <n v="648"/>
    <n v="14"/>
    <n v="8"/>
    <n v="2023"/>
    <s v="Mon"/>
    <s v="Aug"/>
    <d v="2023-08-14T00:00:00"/>
    <s v="CUST648"/>
    <x v="0"/>
    <x v="2"/>
    <n v="53"/>
    <x v="0"/>
    <n v="4"/>
    <n v="300"/>
    <n v="1200"/>
    <n v="18"/>
    <n v="24"/>
  </r>
  <r>
    <n v="649"/>
    <n v="9"/>
    <n v="2"/>
    <n v="2023"/>
    <s v="Thu"/>
    <s v="Feb"/>
    <d v="2023-02-09T00:00:00"/>
    <s v="CUST649"/>
    <x v="1"/>
    <x v="2"/>
    <n v="58"/>
    <x v="1"/>
    <n v="2"/>
    <n v="300"/>
    <n v="600"/>
    <n v="9"/>
    <n v="12"/>
  </r>
  <r>
    <n v="650"/>
    <n v="1"/>
    <n v="1"/>
    <n v="2024"/>
    <s v="Mon"/>
    <s v="Jan"/>
    <d v="2024-01-01T00:00:00"/>
    <s v="CUST650"/>
    <x v="0"/>
    <x v="2"/>
    <n v="55"/>
    <x v="2"/>
    <n v="1"/>
    <n v="30"/>
    <n v="30"/>
    <n v="0.44999999999999996"/>
    <n v="0.6"/>
  </r>
  <r>
    <n v="651"/>
    <n v="27"/>
    <n v="5"/>
    <n v="2023"/>
    <s v="Sat"/>
    <s v="May"/>
    <d v="2023-05-27T00:00:00"/>
    <s v="CUST651"/>
    <x v="0"/>
    <x v="2"/>
    <n v="51"/>
    <x v="1"/>
    <n v="3"/>
    <n v="50"/>
    <n v="150"/>
    <n v="2.25"/>
    <n v="3"/>
  </r>
  <r>
    <n v="652"/>
    <n v="1"/>
    <n v="5"/>
    <n v="2023"/>
    <s v="Mon"/>
    <s v="May"/>
    <d v="2023-05-01T00:00:00"/>
    <s v="CUST652"/>
    <x v="1"/>
    <x v="0"/>
    <n v="34"/>
    <x v="0"/>
    <n v="2"/>
    <n v="50"/>
    <n v="100"/>
    <n v="1.5"/>
    <n v="2"/>
  </r>
  <r>
    <n v="653"/>
    <n v="20"/>
    <n v="5"/>
    <n v="2023"/>
    <s v="Sat"/>
    <s v="May"/>
    <d v="2023-05-20T00:00:00"/>
    <s v="CUST653"/>
    <x v="0"/>
    <x v="2"/>
    <n v="54"/>
    <x v="1"/>
    <n v="3"/>
    <n v="25"/>
    <n v="75"/>
    <n v="1.125"/>
    <n v="1.5"/>
  </r>
  <r>
    <n v="654"/>
    <n v="21"/>
    <n v="6"/>
    <n v="2023"/>
    <s v="Wed"/>
    <s v="Jun"/>
    <d v="2023-06-21T00:00:00"/>
    <s v="CUST654"/>
    <x v="0"/>
    <x v="0"/>
    <n v="42"/>
    <x v="1"/>
    <n v="3"/>
    <n v="25"/>
    <n v="75"/>
    <n v="1.125"/>
    <n v="1.5"/>
  </r>
  <r>
    <n v="655"/>
    <n v="13"/>
    <n v="6"/>
    <n v="2023"/>
    <s v="Tue"/>
    <s v="Jun"/>
    <d v="2023-06-13T00:00:00"/>
    <s v="CUST655"/>
    <x v="1"/>
    <x v="2"/>
    <n v="55"/>
    <x v="1"/>
    <n v="1"/>
    <n v="500"/>
    <n v="500"/>
    <n v="7.5"/>
    <n v="10"/>
  </r>
  <r>
    <n v="656"/>
    <n v="4"/>
    <n v="10"/>
    <n v="2023"/>
    <s v="Wed"/>
    <s v="Oct"/>
    <d v="2023-10-04T00:00:00"/>
    <s v="CUST656"/>
    <x v="0"/>
    <x v="1"/>
    <n v="29"/>
    <x v="0"/>
    <n v="3"/>
    <n v="30"/>
    <n v="90"/>
    <n v="1.3499999999999999"/>
    <n v="1.8"/>
  </r>
  <r>
    <n v="657"/>
    <n v="11"/>
    <n v="2"/>
    <n v="2023"/>
    <s v="Sat"/>
    <s v="Feb"/>
    <d v="2023-02-11T00:00:00"/>
    <s v="CUST657"/>
    <x v="0"/>
    <x v="0"/>
    <n v="40"/>
    <x v="1"/>
    <n v="1"/>
    <n v="25"/>
    <n v="25"/>
    <n v="0.375"/>
    <n v="0.5"/>
  </r>
  <r>
    <n v="658"/>
    <n v="12"/>
    <n v="3"/>
    <n v="2023"/>
    <s v="Sun"/>
    <s v="Mar"/>
    <d v="2023-03-12T00:00:00"/>
    <s v="CUST658"/>
    <x v="0"/>
    <x v="2"/>
    <n v="59"/>
    <x v="1"/>
    <n v="1"/>
    <n v="25"/>
    <n v="25"/>
    <n v="0.375"/>
    <n v="0.5"/>
  </r>
  <r>
    <n v="659"/>
    <n v="19"/>
    <n v="3"/>
    <n v="2023"/>
    <s v="Sun"/>
    <s v="Mar"/>
    <d v="2023-03-19T00:00:00"/>
    <s v="CUST659"/>
    <x v="1"/>
    <x v="0"/>
    <n v="39"/>
    <x v="2"/>
    <n v="1"/>
    <n v="30"/>
    <n v="30"/>
    <n v="0.44999999999999996"/>
    <n v="0.6"/>
  </r>
  <r>
    <n v="660"/>
    <n v="29"/>
    <n v="4"/>
    <n v="2023"/>
    <s v="Sat"/>
    <s v="Apr"/>
    <d v="2023-04-29T00:00:00"/>
    <s v="CUST660"/>
    <x v="1"/>
    <x v="0"/>
    <n v="38"/>
    <x v="0"/>
    <n v="2"/>
    <n v="500"/>
    <n v="1000"/>
    <n v="15"/>
    <n v="20"/>
  </r>
  <r>
    <n v="661"/>
    <n v="16"/>
    <n v="7"/>
    <n v="2023"/>
    <s v="Sun"/>
    <s v="Jul"/>
    <d v="2023-07-16T00:00:00"/>
    <s v="CUST661"/>
    <x v="1"/>
    <x v="0"/>
    <n v="44"/>
    <x v="1"/>
    <n v="4"/>
    <n v="25"/>
    <n v="100"/>
    <n v="1.5"/>
    <n v="2"/>
  </r>
  <r>
    <n v="662"/>
    <n v="22"/>
    <n v="12"/>
    <n v="2023"/>
    <s v="Fri"/>
    <s v="Dec"/>
    <d v="2023-12-22T00:00:00"/>
    <s v="CUST662"/>
    <x v="0"/>
    <x v="0"/>
    <n v="48"/>
    <x v="0"/>
    <n v="2"/>
    <n v="500"/>
    <n v="1000"/>
    <n v="15"/>
    <n v="20"/>
  </r>
  <r>
    <n v="663"/>
    <n v="20"/>
    <n v="3"/>
    <n v="2023"/>
    <s v="Mon"/>
    <s v="Mar"/>
    <d v="2023-03-20T00:00:00"/>
    <s v="CUST663"/>
    <x v="0"/>
    <x v="1"/>
    <n v="23"/>
    <x v="1"/>
    <n v="4"/>
    <n v="300"/>
    <n v="1200"/>
    <n v="18"/>
    <n v="24"/>
  </r>
  <r>
    <n v="664"/>
    <n v="28"/>
    <n v="12"/>
    <n v="2023"/>
    <s v="Thu"/>
    <s v="Dec"/>
    <d v="2023-12-28T00:00:00"/>
    <s v="CUST664"/>
    <x v="1"/>
    <x v="0"/>
    <n v="44"/>
    <x v="1"/>
    <n v="4"/>
    <n v="500"/>
    <n v="2000"/>
    <n v="30"/>
    <n v="40"/>
  </r>
  <r>
    <n v="665"/>
    <n v="20"/>
    <n v="4"/>
    <n v="2023"/>
    <s v="Thu"/>
    <s v="Apr"/>
    <d v="2023-04-20T00:00:00"/>
    <s v="CUST665"/>
    <x v="0"/>
    <x v="2"/>
    <n v="57"/>
    <x v="1"/>
    <n v="1"/>
    <n v="50"/>
    <n v="50"/>
    <n v="0.75"/>
    <n v="1"/>
  </r>
  <r>
    <n v="666"/>
    <n v="2"/>
    <n v="2"/>
    <n v="2023"/>
    <s v="Thu"/>
    <s v="Feb"/>
    <d v="2023-02-02T00:00:00"/>
    <s v="CUST666"/>
    <x v="0"/>
    <x v="2"/>
    <n v="51"/>
    <x v="2"/>
    <n v="3"/>
    <n v="50"/>
    <n v="150"/>
    <n v="2.25"/>
    <n v="3"/>
  </r>
  <r>
    <n v="667"/>
    <n v="1"/>
    <n v="8"/>
    <n v="2023"/>
    <s v="Tue"/>
    <s v="Aug"/>
    <d v="2023-08-01T00:00:00"/>
    <s v="CUST667"/>
    <x v="1"/>
    <x v="1"/>
    <n v="29"/>
    <x v="2"/>
    <n v="1"/>
    <n v="500"/>
    <n v="500"/>
    <n v="7.5"/>
    <n v="10"/>
  </r>
  <r>
    <n v="668"/>
    <n v="28"/>
    <n v="7"/>
    <n v="2023"/>
    <s v="Fri"/>
    <s v="Jul"/>
    <d v="2023-07-28T00:00:00"/>
    <s v="CUST668"/>
    <x v="1"/>
    <x v="2"/>
    <n v="62"/>
    <x v="2"/>
    <n v="3"/>
    <n v="50"/>
    <n v="150"/>
    <n v="2.25"/>
    <n v="3"/>
  </r>
  <r>
    <n v="669"/>
    <n v="19"/>
    <n v="6"/>
    <n v="2023"/>
    <s v="Mon"/>
    <s v="Jun"/>
    <d v="2023-06-19T00:00:00"/>
    <s v="CUST669"/>
    <x v="0"/>
    <x v="1"/>
    <n v="24"/>
    <x v="0"/>
    <n v="4"/>
    <n v="300"/>
    <n v="1200"/>
    <n v="18"/>
    <n v="24"/>
  </r>
  <r>
    <n v="670"/>
    <n v="5"/>
    <n v="10"/>
    <n v="2023"/>
    <s v="Thu"/>
    <s v="Oct"/>
    <d v="2023-10-05T00:00:00"/>
    <s v="CUST670"/>
    <x v="0"/>
    <x v="1"/>
    <n v="27"/>
    <x v="0"/>
    <n v="1"/>
    <n v="30"/>
    <n v="30"/>
    <n v="0.44999999999999996"/>
    <n v="0.6"/>
  </r>
  <r>
    <n v="671"/>
    <n v="27"/>
    <n v="8"/>
    <n v="2023"/>
    <s v="Sun"/>
    <s v="Aug"/>
    <d v="2023-08-27T00:00:00"/>
    <s v="CUST671"/>
    <x v="0"/>
    <x v="2"/>
    <n v="62"/>
    <x v="2"/>
    <n v="3"/>
    <n v="50"/>
    <n v="150"/>
    <n v="2.25"/>
    <n v="3"/>
  </r>
  <r>
    <n v="672"/>
    <n v="1"/>
    <n v="8"/>
    <n v="2023"/>
    <s v="Tue"/>
    <s v="Aug"/>
    <d v="2023-08-01T00:00:00"/>
    <s v="CUST672"/>
    <x v="1"/>
    <x v="0"/>
    <n v="34"/>
    <x v="0"/>
    <n v="2"/>
    <n v="50"/>
    <n v="100"/>
    <n v="1.5"/>
    <n v="2"/>
  </r>
  <r>
    <n v="673"/>
    <n v="1"/>
    <n v="2"/>
    <n v="2023"/>
    <s v="Wed"/>
    <s v="Feb"/>
    <d v="2023-02-01T00:00:00"/>
    <s v="CUST673"/>
    <x v="1"/>
    <x v="0"/>
    <n v="43"/>
    <x v="1"/>
    <n v="3"/>
    <n v="500"/>
    <n v="1500"/>
    <n v="22.5"/>
    <n v="30"/>
  </r>
  <r>
    <n v="674"/>
    <n v="16"/>
    <n v="4"/>
    <n v="2023"/>
    <s v="Sun"/>
    <s v="Apr"/>
    <d v="2023-04-16T00:00:00"/>
    <s v="CUST674"/>
    <x v="1"/>
    <x v="0"/>
    <n v="38"/>
    <x v="1"/>
    <n v="1"/>
    <n v="300"/>
    <n v="300"/>
    <n v="4.5"/>
    <n v="6"/>
  </r>
  <r>
    <n v="675"/>
    <n v="4"/>
    <n v="8"/>
    <n v="2023"/>
    <s v="Fri"/>
    <s v="Aug"/>
    <d v="2023-08-04T00:00:00"/>
    <s v="CUST675"/>
    <x v="1"/>
    <x v="0"/>
    <n v="45"/>
    <x v="1"/>
    <n v="2"/>
    <n v="30"/>
    <n v="60"/>
    <n v="0.89999999999999991"/>
    <n v="1.2"/>
  </r>
  <r>
    <n v="676"/>
    <n v="19"/>
    <n v="7"/>
    <n v="2023"/>
    <s v="Wed"/>
    <s v="Jul"/>
    <d v="2023-07-19T00:00:00"/>
    <s v="CUST676"/>
    <x v="0"/>
    <x v="2"/>
    <n v="63"/>
    <x v="2"/>
    <n v="3"/>
    <n v="500"/>
    <n v="1500"/>
    <n v="22.5"/>
    <n v="30"/>
  </r>
  <r>
    <n v="677"/>
    <n v="27"/>
    <n v="10"/>
    <n v="2023"/>
    <s v="Fri"/>
    <s v="Oct"/>
    <d v="2023-10-27T00:00:00"/>
    <s v="CUST677"/>
    <x v="1"/>
    <x v="1"/>
    <n v="19"/>
    <x v="0"/>
    <n v="3"/>
    <n v="500"/>
    <n v="1500"/>
    <n v="22.5"/>
    <n v="30"/>
  </r>
  <r>
    <n v="678"/>
    <n v="23"/>
    <n v="12"/>
    <n v="2023"/>
    <s v="Sat"/>
    <s v="Dec"/>
    <d v="2023-12-23T00:00:00"/>
    <s v="CUST678"/>
    <x v="1"/>
    <x v="2"/>
    <n v="60"/>
    <x v="2"/>
    <n v="3"/>
    <n v="300"/>
    <n v="900"/>
    <n v="13.5"/>
    <n v="18"/>
  </r>
  <r>
    <n v="679"/>
    <n v="11"/>
    <n v="1"/>
    <n v="2023"/>
    <s v="Wed"/>
    <s v="Jan"/>
    <d v="2023-01-11T00:00:00"/>
    <s v="CUST679"/>
    <x v="1"/>
    <x v="1"/>
    <n v="18"/>
    <x v="0"/>
    <n v="3"/>
    <n v="30"/>
    <n v="90"/>
    <n v="1.3499999999999999"/>
    <n v="1.8"/>
  </r>
  <r>
    <n v="680"/>
    <n v="22"/>
    <n v="10"/>
    <n v="2023"/>
    <s v="Sun"/>
    <s v="Oct"/>
    <d v="2023-10-22T00:00:00"/>
    <s v="CUST680"/>
    <x v="1"/>
    <x v="2"/>
    <n v="53"/>
    <x v="1"/>
    <n v="3"/>
    <n v="300"/>
    <n v="900"/>
    <n v="13.5"/>
    <n v="18"/>
  </r>
  <r>
    <n v="681"/>
    <n v="14"/>
    <n v="7"/>
    <n v="2023"/>
    <s v="Fri"/>
    <s v="Jul"/>
    <d v="2023-07-14T00:00:00"/>
    <s v="CUST681"/>
    <x v="1"/>
    <x v="0"/>
    <n v="43"/>
    <x v="2"/>
    <n v="2"/>
    <n v="30"/>
    <n v="60"/>
    <n v="0.89999999999999991"/>
    <n v="1.2"/>
  </r>
  <r>
    <n v="682"/>
    <n v="2"/>
    <n v="9"/>
    <n v="2023"/>
    <s v="Sat"/>
    <s v="Sep"/>
    <d v="2023-09-02T00:00:00"/>
    <s v="CUST682"/>
    <x v="0"/>
    <x v="0"/>
    <n v="46"/>
    <x v="0"/>
    <n v="4"/>
    <n v="300"/>
    <n v="1200"/>
    <n v="18"/>
    <n v="24"/>
  </r>
  <r>
    <n v="683"/>
    <n v="4"/>
    <n v="1"/>
    <n v="2023"/>
    <s v="Wed"/>
    <s v="Jan"/>
    <d v="2023-01-04T00:00:00"/>
    <s v="CUST683"/>
    <x v="0"/>
    <x v="0"/>
    <n v="38"/>
    <x v="0"/>
    <n v="2"/>
    <n v="500"/>
    <n v="1000"/>
    <n v="15"/>
    <n v="20"/>
  </r>
  <r>
    <n v="684"/>
    <n v="30"/>
    <n v="6"/>
    <n v="2023"/>
    <s v="Fri"/>
    <s v="Jun"/>
    <d v="2023-06-30T00:00:00"/>
    <s v="CUST684"/>
    <x v="1"/>
    <x v="1"/>
    <n v="28"/>
    <x v="1"/>
    <n v="2"/>
    <n v="500"/>
    <n v="1000"/>
    <n v="15"/>
    <n v="20"/>
  </r>
  <r>
    <n v="685"/>
    <n v="2"/>
    <n v="6"/>
    <n v="2023"/>
    <s v="Fri"/>
    <s v="Jun"/>
    <d v="2023-06-02T00:00:00"/>
    <s v="CUST685"/>
    <x v="0"/>
    <x v="2"/>
    <n v="57"/>
    <x v="2"/>
    <n v="2"/>
    <n v="25"/>
    <n v="50"/>
    <n v="0.75"/>
    <n v="1"/>
  </r>
  <r>
    <n v="686"/>
    <n v="19"/>
    <n v="7"/>
    <n v="2023"/>
    <s v="Wed"/>
    <s v="Jul"/>
    <d v="2023-07-19T00:00:00"/>
    <s v="CUST686"/>
    <x v="1"/>
    <x v="1"/>
    <n v="28"/>
    <x v="2"/>
    <n v="4"/>
    <n v="50"/>
    <n v="200"/>
    <n v="3"/>
    <n v="4"/>
  </r>
  <r>
    <n v="687"/>
    <n v="3"/>
    <n v="8"/>
    <n v="2023"/>
    <s v="Thu"/>
    <s v="Aug"/>
    <d v="2023-08-03T00:00:00"/>
    <s v="CUST687"/>
    <x v="1"/>
    <x v="2"/>
    <n v="53"/>
    <x v="2"/>
    <n v="1"/>
    <n v="300"/>
    <n v="300"/>
    <n v="4.5"/>
    <n v="6"/>
  </r>
  <r>
    <n v="688"/>
    <n v="3"/>
    <n v="10"/>
    <n v="2023"/>
    <s v="Tue"/>
    <s v="Oct"/>
    <d v="2023-10-03T00:00:00"/>
    <s v="CUST688"/>
    <x v="0"/>
    <x v="2"/>
    <n v="56"/>
    <x v="1"/>
    <n v="4"/>
    <n v="25"/>
    <n v="100"/>
    <n v="1.5"/>
    <n v="2"/>
  </r>
  <r>
    <n v="689"/>
    <n v="7"/>
    <n v="10"/>
    <n v="2023"/>
    <s v="Sat"/>
    <s v="Oct"/>
    <d v="2023-10-07T00:00:00"/>
    <s v="CUST689"/>
    <x v="0"/>
    <x v="2"/>
    <n v="57"/>
    <x v="2"/>
    <n v="2"/>
    <n v="50"/>
    <n v="100"/>
    <n v="1.5"/>
    <n v="2"/>
  </r>
  <r>
    <n v="690"/>
    <n v="5"/>
    <n v="11"/>
    <n v="2023"/>
    <s v="Sun"/>
    <s v="Nov"/>
    <d v="2023-11-05T00:00:00"/>
    <s v="CUST690"/>
    <x v="1"/>
    <x v="2"/>
    <n v="52"/>
    <x v="1"/>
    <n v="3"/>
    <n v="300"/>
    <n v="900"/>
    <n v="13.5"/>
    <n v="18"/>
  </r>
  <r>
    <n v="691"/>
    <n v="23"/>
    <n v="4"/>
    <n v="2023"/>
    <s v="Sun"/>
    <s v="Apr"/>
    <d v="2023-04-23T00:00:00"/>
    <s v="CUST691"/>
    <x v="1"/>
    <x v="2"/>
    <n v="51"/>
    <x v="1"/>
    <n v="3"/>
    <n v="30"/>
    <n v="90"/>
    <n v="1.3499999999999999"/>
    <n v="1.8"/>
  </r>
  <r>
    <n v="692"/>
    <n v="7"/>
    <n v="9"/>
    <n v="2023"/>
    <s v="Thu"/>
    <s v="Sep"/>
    <d v="2023-09-07T00:00:00"/>
    <s v="CUST692"/>
    <x v="1"/>
    <x v="2"/>
    <n v="64"/>
    <x v="1"/>
    <n v="2"/>
    <n v="50"/>
    <n v="100"/>
    <n v="1.5"/>
    <n v="2"/>
  </r>
  <r>
    <n v="693"/>
    <n v="23"/>
    <n v="4"/>
    <n v="2023"/>
    <s v="Sun"/>
    <s v="Apr"/>
    <d v="2023-04-23T00:00:00"/>
    <s v="CUST693"/>
    <x v="0"/>
    <x v="0"/>
    <n v="41"/>
    <x v="0"/>
    <n v="3"/>
    <n v="500"/>
    <n v="1500"/>
    <n v="22.5"/>
    <n v="30"/>
  </r>
  <r>
    <n v="694"/>
    <n v="20"/>
    <n v="5"/>
    <n v="2023"/>
    <s v="Sat"/>
    <s v="May"/>
    <d v="2023-05-20T00:00:00"/>
    <s v="CUST694"/>
    <x v="1"/>
    <x v="0"/>
    <n v="39"/>
    <x v="2"/>
    <n v="2"/>
    <n v="25"/>
    <n v="50"/>
    <n v="0.75"/>
    <n v="1"/>
  </r>
  <r>
    <n v="695"/>
    <n v="12"/>
    <n v="8"/>
    <n v="2023"/>
    <s v="Sat"/>
    <s v="Aug"/>
    <d v="2023-08-12T00:00:00"/>
    <s v="CUST695"/>
    <x v="1"/>
    <x v="1"/>
    <n v="22"/>
    <x v="2"/>
    <n v="3"/>
    <n v="50"/>
    <n v="150"/>
    <n v="2.25"/>
    <n v="3"/>
  </r>
  <r>
    <n v="696"/>
    <n v="6"/>
    <n v="9"/>
    <n v="2023"/>
    <s v="Wed"/>
    <s v="Sep"/>
    <d v="2023-09-06T00:00:00"/>
    <s v="CUST696"/>
    <x v="1"/>
    <x v="2"/>
    <n v="50"/>
    <x v="1"/>
    <n v="4"/>
    <n v="50"/>
    <n v="200"/>
    <n v="3"/>
    <n v="4"/>
  </r>
  <r>
    <n v="697"/>
    <n v="15"/>
    <n v="1"/>
    <n v="2023"/>
    <s v="Sun"/>
    <s v="Jan"/>
    <d v="2023-01-15T00:00:00"/>
    <s v="CUST697"/>
    <x v="0"/>
    <x v="2"/>
    <n v="53"/>
    <x v="1"/>
    <n v="1"/>
    <n v="500"/>
    <n v="500"/>
    <n v="7.5"/>
    <n v="10"/>
  </r>
  <r>
    <n v="698"/>
    <n v="19"/>
    <n v="7"/>
    <n v="2023"/>
    <s v="Wed"/>
    <s v="Jul"/>
    <d v="2023-07-19T00:00:00"/>
    <s v="CUST698"/>
    <x v="1"/>
    <x v="2"/>
    <n v="64"/>
    <x v="2"/>
    <n v="1"/>
    <n v="300"/>
    <n v="300"/>
    <n v="4.5"/>
    <n v="6"/>
  </r>
  <r>
    <n v="699"/>
    <n v="22"/>
    <n v="6"/>
    <n v="2023"/>
    <s v="Thu"/>
    <s v="Jun"/>
    <d v="2023-06-22T00:00:00"/>
    <s v="CUST699"/>
    <x v="1"/>
    <x v="0"/>
    <n v="37"/>
    <x v="1"/>
    <n v="4"/>
    <n v="30"/>
    <n v="120"/>
    <n v="1.7999999999999998"/>
    <n v="2.4"/>
  </r>
  <r>
    <n v="700"/>
    <n v="9"/>
    <n v="12"/>
    <n v="2023"/>
    <s v="Sat"/>
    <s v="Dec"/>
    <d v="2023-12-09T00:00:00"/>
    <s v="CUST700"/>
    <x v="0"/>
    <x v="0"/>
    <n v="36"/>
    <x v="2"/>
    <n v="4"/>
    <n v="500"/>
    <n v="2000"/>
    <n v="30"/>
    <n v="40"/>
  </r>
  <r>
    <n v="701"/>
    <n v="14"/>
    <n v="12"/>
    <n v="2023"/>
    <s v="Thu"/>
    <s v="Dec"/>
    <d v="2023-12-14T00:00:00"/>
    <s v="CUST701"/>
    <x v="1"/>
    <x v="2"/>
    <n v="52"/>
    <x v="0"/>
    <n v="2"/>
    <n v="30"/>
    <n v="60"/>
    <n v="0.89999999999999991"/>
    <n v="1.2"/>
  </r>
  <r>
    <n v="702"/>
    <n v="27"/>
    <n v="7"/>
    <n v="2023"/>
    <s v="Thu"/>
    <s v="Jul"/>
    <d v="2023-07-27T00:00:00"/>
    <s v="CUST702"/>
    <x v="1"/>
    <x v="2"/>
    <n v="60"/>
    <x v="1"/>
    <n v="2"/>
    <n v="300"/>
    <n v="600"/>
    <n v="9"/>
    <n v="12"/>
  </r>
  <r>
    <n v="703"/>
    <n v="26"/>
    <n v="3"/>
    <n v="2023"/>
    <s v="Sun"/>
    <s v="Mar"/>
    <d v="2023-03-26T00:00:00"/>
    <s v="CUST703"/>
    <x v="0"/>
    <x v="0"/>
    <n v="34"/>
    <x v="2"/>
    <n v="2"/>
    <n v="50"/>
    <n v="100"/>
    <n v="1.5"/>
    <n v="2"/>
  </r>
  <r>
    <n v="704"/>
    <n v="28"/>
    <n v="8"/>
    <n v="2023"/>
    <s v="Mon"/>
    <s v="Aug"/>
    <d v="2023-08-28T00:00:00"/>
    <s v="CUST704"/>
    <x v="1"/>
    <x v="2"/>
    <n v="62"/>
    <x v="1"/>
    <n v="3"/>
    <n v="30"/>
    <n v="90"/>
    <n v="1.3499999999999999"/>
    <n v="1.8"/>
  </r>
  <r>
    <n v="705"/>
    <n v="7"/>
    <n v="3"/>
    <n v="2023"/>
    <s v="Tue"/>
    <s v="Mar"/>
    <d v="2023-03-07T00:00:00"/>
    <s v="CUST705"/>
    <x v="0"/>
    <x v="2"/>
    <n v="60"/>
    <x v="2"/>
    <n v="2"/>
    <n v="25"/>
    <n v="50"/>
    <n v="0.75"/>
    <n v="1"/>
  </r>
  <r>
    <n v="706"/>
    <n v="15"/>
    <n v="11"/>
    <n v="2023"/>
    <s v="Wed"/>
    <s v="Nov"/>
    <d v="2023-11-15T00:00:00"/>
    <s v="CUST706"/>
    <x v="0"/>
    <x v="2"/>
    <n v="51"/>
    <x v="2"/>
    <n v="4"/>
    <n v="25"/>
    <n v="100"/>
    <n v="1.5"/>
    <n v="2"/>
  </r>
  <r>
    <n v="707"/>
    <n v="1"/>
    <n v="10"/>
    <n v="2023"/>
    <s v="Sun"/>
    <s v="Oct"/>
    <d v="2023-10-01T00:00:00"/>
    <s v="CUST707"/>
    <x v="1"/>
    <x v="1"/>
    <n v="26"/>
    <x v="1"/>
    <n v="1"/>
    <n v="500"/>
    <n v="500"/>
    <n v="7.5"/>
    <n v="10"/>
  </r>
  <r>
    <n v="708"/>
    <n v="14"/>
    <n v="1"/>
    <n v="2023"/>
    <s v="Sat"/>
    <s v="Jan"/>
    <d v="2023-01-14T00:00:00"/>
    <s v="CUST708"/>
    <x v="1"/>
    <x v="0"/>
    <n v="43"/>
    <x v="0"/>
    <n v="3"/>
    <n v="300"/>
    <n v="900"/>
    <n v="13.5"/>
    <n v="18"/>
  </r>
  <r>
    <n v="709"/>
    <n v="21"/>
    <n v="7"/>
    <n v="2023"/>
    <s v="Fri"/>
    <s v="Jul"/>
    <d v="2023-07-21T00:00:00"/>
    <s v="CUST709"/>
    <x v="1"/>
    <x v="1"/>
    <n v="19"/>
    <x v="2"/>
    <n v="2"/>
    <n v="500"/>
    <n v="1000"/>
    <n v="15"/>
    <n v="20"/>
  </r>
  <r>
    <n v="710"/>
    <n v="31"/>
    <n v="10"/>
    <n v="2023"/>
    <s v="Tue"/>
    <s v="Oct"/>
    <d v="2023-10-31T00:00:00"/>
    <s v="CUST710"/>
    <x v="1"/>
    <x v="1"/>
    <n v="26"/>
    <x v="2"/>
    <n v="3"/>
    <n v="500"/>
    <n v="1500"/>
    <n v="22.5"/>
    <n v="30"/>
  </r>
  <r>
    <n v="711"/>
    <n v="16"/>
    <n v="10"/>
    <n v="2023"/>
    <s v="Mon"/>
    <s v="Oct"/>
    <d v="2023-10-16T00:00:00"/>
    <s v="CUST711"/>
    <x v="0"/>
    <x v="1"/>
    <n v="26"/>
    <x v="2"/>
    <n v="3"/>
    <n v="500"/>
    <n v="1500"/>
    <n v="22.5"/>
    <n v="30"/>
  </r>
  <r>
    <n v="712"/>
    <n v="6"/>
    <n v="12"/>
    <n v="2023"/>
    <s v="Wed"/>
    <s v="Dec"/>
    <d v="2023-12-06T00:00:00"/>
    <s v="CUST712"/>
    <x v="1"/>
    <x v="2"/>
    <n v="57"/>
    <x v="0"/>
    <n v="2"/>
    <n v="25"/>
    <n v="50"/>
    <n v="0.75"/>
    <n v="1"/>
  </r>
  <r>
    <n v="713"/>
    <n v="14"/>
    <n v="1"/>
    <n v="2023"/>
    <s v="Sat"/>
    <s v="Jan"/>
    <d v="2023-01-14T00:00:00"/>
    <s v="CUST713"/>
    <x v="0"/>
    <x v="0"/>
    <n v="34"/>
    <x v="0"/>
    <n v="3"/>
    <n v="25"/>
    <n v="75"/>
    <n v="1.125"/>
    <n v="1.5"/>
  </r>
  <r>
    <n v="714"/>
    <n v="12"/>
    <n v="2"/>
    <n v="2023"/>
    <s v="Sun"/>
    <s v="Feb"/>
    <d v="2023-02-12T00:00:00"/>
    <s v="CUST714"/>
    <x v="1"/>
    <x v="1"/>
    <n v="18"/>
    <x v="1"/>
    <n v="1"/>
    <n v="500"/>
    <n v="500"/>
    <n v="7.5"/>
    <n v="10"/>
  </r>
  <r>
    <n v="715"/>
    <n v="26"/>
    <n v="11"/>
    <n v="2023"/>
    <s v="Sun"/>
    <s v="Nov"/>
    <d v="2023-11-26T00:00:00"/>
    <s v="CUST715"/>
    <x v="1"/>
    <x v="0"/>
    <n v="42"/>
    <x v="0"/>
    <n v="4"/>
    <n v="25"/>
    <n v="100"/>
    <n v="1.5"/>
    <n v="2"/>
  </r>
  <r>
    <n v="716"/>
    <n v="8"/>
    <n v="8"/>
    <n v="2023"/>
    <s v="Tue"/>
    <s v="Aug"/>
    <d v="2023-08-08T00:00:00"/>
    <s v="CUST716"/>
    <x v="1"/>
    <x v="2"/>
    <n v="60"/>
    <x v="1"/>
    <n v="4"/>
    <n v="300"/>
    <n v="1200"/>
    <n v="18"/>
    <n v="24"/>
  </r>
  <r>
    <n v="717"/>
    <n v="11"/>
    <n v="3"/>
    <n v="2023"/>
    <s v="Sat"/>
    <s v="Mar"/>
    <d v="2023-03-11T00:00:00"/>
    <s v="CUST717"/>
    <x v="0"/>
    <x v="2"/>
    <n v="57"/>
    <x v="1"/>
    <n v="1"/>
    <n v="500"/>
    <n v="500"/>
    <n v="7.5"/>
    <n v="10"/>
  </r>
  <r>
    <n v="718"/>
    <n v="25"/>
    <n v="8"/>
    <n v="2023"/>
    <s v="Fri"/>
    <s v="Aug"/>
    <d v="2023-08-25T00:00:00"/>
    <s v="CUST718"/>
    <x v="1"/>
    <x v="2"/>
    <n v="59"/>
    <x v="0"/>
    <n v="3"/>
    <n v="25"/>
    <n v="75"/>
    <n v="1.125"/>
    <n v="1.5"/>
  </r>
  <r>
    <n v="719"/>
    <n v="4"/>
    <n v="4"/>
    <n v="2023"/>
    <s v="Tue"/>
    <s v="Apr"/>
    <d v="2023-04-04T00:00:00"/>
    <s v="CUST719"/>
    <x v="1"/>
    <x v="0"/>
    <n v="42"/>
    <x v="1"/>
    <n v="2"/>
    <n v="30"/>
    <n v="60"/>
    <n v="0.89999999999999991"/>
    <n v="1.2"/>
  </r>
  <r>
    <n v="720"/>
    <n v="26"/>
    <n v="1"/>
    <n v="2023"/>
    <s v="Thu"/>
    <s v="Jan"/>
    <d v="2023-01-26T00:00:00"/>
    <s v="CUST720"/>
    <x v="1"/>
    <x v="2"/>
    <n v="56"/>
    <x v="0"/>
    <n v="3"/>
    <n v="500"/>
    <n v="1500"/>
    <n v="22.5"/>
    <n v="30"/>
  </r>
  <r>
    <n v="721"/>
    <n v="14"/>
    <n v="5"/>
    <n v="2023"/>
    <s v="Sun"/>
    <s v="May"/>
    <d v="2023-05-14T00:00:00"/>
    <s v="CUST721"/>
    <x v="1"/>
    <x v="2"/>
    <n v="52"/>
    <x v="1"/>
    <n v="1"/>
    <n v="500"/>
    <n v="500"/>
    <n v="7.5"/>
    <n v="10"/>
  </r>
  <r>
    <n v="722"/>
    <n v="14"/>
    <n v="7"/>
    <n v="2023"/>
    <s v="Fri"/>
    <s v="Jul"/>
    <d v="2023-07-14T00:00:00"/>
    <s v="CUST722"/>
    <x v="0"/>
    <x v="1"/>
    <n v="20"/>
    <x v="0"/>
    <n v="3"/>
    <n v="300"/>
    <n v="900"/>
    <n v="13.5"/>
    <n v="18"/>
  </r>
  <r>
    <n v="723"/>
    <n v="17"/>
    <n v="6"/>
    <n v="2023"/>
    <s v="Sat"/>
    <s v="Jun"/>
    <d v="2023-06-17T00:00:00"/>
    <s v="CUST723"/>
    <x v="1"/>
    <x v="2"/>
    <n v="54"/>
    <x v="0"/>
    <n v="4"/>
    <n v="50"/>
    <n v="200"/>
    <n v="3"/>
    <n v="4"/>
  </r>
  <r>
    <n v="724"/>
    <n v="19"/>
    <n v="4"/>
    <n v="2023"/>
    <s v="Wed"/>
    <s v="Apr"/>
    <d v="2023-04-19T00:00:00"/>
    <s v="CUST724"/>
    <x v="0"/>
    <x v="2"/>
    <n v="61"/>
    <x v="1"/>
    <n v="3"/>
    <n v="50"/>
    <n v="150"/>
    <n v="2.25"/>
    <n v="3"/>
  </r>
  <r>
    <n v="725"/>
    <n v="21"/>
    <n v="8"/>
    <n v="2023"/>
    <s v="Mon"/>
    <s v="Aug"/>
    <d v="2023-08-21T00:00:00"/>
    <s v="CUST725"/>
    <x v="0"/>
    <x v="2"/>
    <n v="61"/>
    <x v="2"/>
    <n v="1"/>
    <n v="300"/>
    <n v="300"/>
    <n v="4.5"/>
    <n v="6"/>
  </r>
  <r>
    <n v="726"/>
    <n v="17"/>
    <n v="6"/>
    <n v="2023"/>
    <s v="Sat"/>
    <s v="Jun"/>
    <d v="2023-06-17T00:00:00"/>
    <s v="CUST726"/>
    <x v="0"/>
    <x v="0"/>
    <n v="47"/>
    <x v="1"/>
    <n v="4"/>
    <n v="300"/>
    <n v="1200"/>
    <n v="18"/>
    <n v="24"/>
  </r>
  <r>
    <n v="727"/>
    <n v="22"/>
    <n v="6"/>
    <n v="2023"/>
    <s v="Thu"/>
    <s v="Jun"/>
    <d v="2023-06-22T00:00:00"/>
    <s v="CUST727"/>
    <x v="0"/>
    <x v="2"/>
    <n v="55"/>
    <x v="0"/>
    <n v="3"/>
    <n v="300"/>
    <n v="900"/>
    <n v="13.5"/>
    <n v="18"/>
  </r>
  <r>
    <n v="728"/>
    <n v="14"/>
    <n v="7"/>
    <n v="2023"/>
    <s v="Fri"/>
    <s v="Jul"/>
    <d v="2023-07-14T00:00:00"/>
    <s v="CUST728"/>
    <x v="0"/>
    <x v="2"/>
    <n v="51"/>
    <x v="2"/>
    <n v="3"/>
    <n v="50"/>
    <n v="150"/>
    <n v="2.25"/>
    <n v="3"/>
  </r>
  <r>
    <n v="729"/>
    <n v="23"/>
    <n v="5"/>
    <n v="2023"/>
    <s v="Tue"/>
    <s v="May"/>
    <d v="2023-05-23T00:00:00"/>
    <s v="CUST729"/>
    <x v="0"/>
    <x v="1"/>
    <n v="29"/>
    <x v="1"/>
    <n v="4"/>
    <n v="300"/>
    <n v="1200"/>
    <n v="18"/>
    <n v="24"/>
  </r>
  <r>
    <n v="730"/>
    <n v="4"/>
    <n v="8"/>
    <n v="2023"/>
    <s v="Fri"/>
    <s v="Aug"/>
    <d v="2023-08-04T00:00:00"/>
    <s v="CUST730"/>
    <x v="1"/>
    <x v="0"/>
    <n v="36"/>
    <x v="1"/>
    <n v="2"/>
    <n v="25"/>
    <n v="50"/>
    <n v="0.75"/>
    <n v="1"/>
  </r>
  <r>
    <n v="731"/>
    <n v="10"/>
    <n v="5"/>
    <n v="2023"/>
    <s v="Wed"/>
    <s v="May"/>
    <d v="2023-05-10T00:00:00"/>
    <s v="CUST731"/>
    <x v="0"/>
    <x v="2"/>
    <n v="54"/>
    <x v="1"/>
    <n v="4"/>
    <n v="500"/>
    <n v="2000"/>
    <n v="30"/>
    <n v="40"/>
  </r>
  <r>
    <n v="732"/>
    <n v="11"/>
    <n v="2"/>
    <n v="2023"/>
    <s v="Sat"/>
    <s v="Feb"/>
    <d v="2023-02-11T00:00:00"/>
    <s v="CUST732"/>
    <x v="0"/>
    <x v="2"/>
    <n v="61"/>
    <x v="2"/>
    <n v="2"/>
    <n v="500"/>
    <n v="1000"/>
    <n v="15"/>
    <n v="20"/>
  </r>
  <r>
    <n v="733"/>
    <n v="29"/>
    <n v="8"/>
    <n v="2023"/>
    <s v="Tue"/>
    <s v="Aug"/>
    <d v="2023-08-29T00:00:00"/>
    <s v="CUST733"/>
    <x v="0"/>
    <x v="0"/>
    <n v="34"/>
    <x v="0"/>
    <n v="1"/>
    <n v="30"/>
    <n v="30"/>
    <n v="0.44999999999999996"/>
    <n v="0.6"/>
  </r>
  <r>
    <n v="734"/>
    <n v="10"/>
    <n v="1"/>
    <n v="2023"/>
    <s v="Tue"/>
    <s v="Jan"/>
    <d v="2023-01-10T00:00:00"/>
    <s v="CUST734"/>
    <x v="1"/>
    <x v="1"/>
    <n v="27"/>
    <x v="1"/>
    <n v="1"/>
    <n v="30"/>
    <n v="30"/>
    <n v="0.44999999999999996"/>
    <n v="0.6"/>
  </r>
  <r>
    <n v="735"/>
    <n v="4"/>
    <n v="10"/>
    <n v="2023"/>
    <s v="Wed"/>
    <s v="Oct"/>
    <d v="2023-10-04T00:00:00"/>
    <s v="CUST735"/>
    <x v="1"/>
    <x v="2"/>
    <n v="64"/>
    <x v="1"/>
    <n v="4"/>
    <n v="500"/>
    <n v="2000"/>
    <n v="30"/>
    <n v="40"/>
  </r>
  <r>
    <n v="736"/>
    <n v="27"/>
    <n v="1"/>
    <n v="2023"/>
    <s v="Fri"/>
    <s v="Jan"/>
    <d v="2023-01-27T00:00:00"/>
    <s v="CUST736"/>
    <x v="0"/>
    <x v="1"/>
    <n v="29"/>
    <x v="1"/>
    <n v="4"/>
    <n v="25"/>
    <n v="100"/>
    <n v="1.5"/>
    <n v="2"/>
  </r>
  <r>
    <n v="737"/>
    <n v="29"/>
    <n v="6"/>
    <n v="2023"/>
    <s v="Thu"/>
    <s v="Jun"/>
    <d v="2023-06-29T00:00:00"/>
    <s v="CUST737"/>
    <x v="1"/>
    <x v="0"/>
    <n v="33"/>
    <x v="1"/>
    <n v="1"/>
    <n v="50"/>
    <n v="50"/>
    <n v="0.75"/>
    <n v="1"/>
  </r>
  <r>
    <n v="738"/>
    <n v="25"/>
    <n v="4"/>
    <n v="2023"/>
    <s v="Tue"/>
    <s v="Apr"/>
    <d v="2023-04-25T00:00:00"/>
    <s v="CUST738"/>
    <x v="0"/>
    <x v="0"/>
    <n v="41"/>
    <x v="1"/>
    <n v="2"/>
    <n v="50"/>
    <n v="100"/>
    <n v="1.5"/>
    <n v="2"/>
  </r>
  <r>
    <n v="739"/>
    <n v="29"/>
    <n v="11"/>
    <n v="2023"/>
    <s v="Wed"/>
    <s v="Nov"/>
    <d v="2023-11-29T00:00:00"/>
    <s v="CUST739"/>
    <x v="0"/>
    <x v="0"/>
    <n v="36"/>
    <x v="0"/>
    <n v="1"/>
    <n v="25"/>
    <n v="25"/>
    <n v="0.375"/>
    <n v="0.5"/>
  </r>
  <r>
    <n v="740"/>
    <n v="5"/>
    <n v="2"/>
    <n v="2023"/>
    <s v="Sun"/>
    <s v="Feb"/>
    <d v="2023-02-05T00:00:00"/>
    <s v="CUST740"/>
    <x v="1"/>
    <x v="1"/>
    <n v="25"/>
    <x v="0"/>
    <n v="4"/>
    <n v="50"/>
    <n v="200"/>
    <n v="3"/>
    <n v="4"/>
  </r>
  <r>
    <n v="741"/>
    <n v="30"/>
    <n v="11"/>
    <n v="2023"/>
    <s v="Thu"/>
    <s v="Nov"/>
    <d v="2023-11-30T00:00:00"/>
    <s v="CUST741"/>
    <x v="0"/>
    <x v="0"/>
    <n v="48"/>
    <x v="1"/>
    <n v="1"/>
    <n v="300"/>
    <n v="300"/>
    <n v="4.5"/>
    <n v="6"/>
  </r>
  <r>
    <n v="742"/>
    <n v="21"/>
    <n v="1"/>
    <n v="2023"/>
    <s v="Sat"/>
    <s v="Jan"/>
    <d v="2023-01-21T00:00:00"/>
    <s v="CUST742"/>
    <x v="1"/>
    <x v="0"/>
    <n v="38"/>
    <x v="2"/>
    <n v="4"/>
    <n v="500"/>
    <n v="2000"/>
    <n v="30"/>
    <n v="40"/>
  </r>
  <r>
    <n v="743"/>
    <n v="16"/>
    <n v="1"/>
    <n v="2023"/>
    <s v="Mon"/>
    <s v="Jan"/>
    <d v="2023-01-16T00:00:00"/>
    <s v="CUST743"/>
    <x v="1"/>
    <x v="0"/>
    <n v="34"/>
    <x v="0"/>
    <n v="4"/>
    <n v="500"/>
    <n v="2000"/>
    <n v="30"/>
    <n v="40"/>
  </r>
  <r>
    <n v="744"/>
    <n v="7"/>
    <n v="5"/>
    <n v="2023"/>
    <s v="Sun"/>
    <s v="May"/>
    <d v="2023-05-07T00:00:00"/>
    <s v="CUST744"/>
    <x v="0"/>
    <x v="0"/>
    <n v="40"/>
    <x v="2"/>
    <n v="1"/>
    <n v="25"/>
    <n v="25"/>
    <n v="0.375"/>
    <n v="0.5"/>
  </r>
  <r>
    <n v="745"/>
    <n v="13"/>
    <n v="4"/>
    <n v="2023"/>
    <s v="Thu"/>
    <s v="Apr"/>
    <d v="2023-04-13T00:00:00"/>
    <s v="CUST745"/>
    <x v="0"/>
    <x v="2"/>
    <n v="54"/>
    <x v="0"/>
    <n v="2"/>
    <n v="50"/>
    <n v="100"/>
    <n v="1.5"/>
    <n v="2"/>
  </r>
  <r>
    <n v="746"/>
    <n v="11"/>
    <n v="1"/>
    <n v="2023"/>
    <s v="Wed"/>
    <s v="Jan"/>
    <d v="2023-01-11T00:00:00"/>
    <s v="CUST746"/>
    <x v="1"/>
    <x v="0"/>
    <n v="33"/>
    <x v="1"/>
    <n v="3"/>
    <n v="30"/>
    <n v="90"/>
    <n v="1.3499999999999999"/>
    <n v="1.8"/>
  </r>
  <r>
    <n v="747"/>
    <n v="15"/>
    <n v="11"/>
    <n v="2023"/>
    <s v="Wed"/>
    <s v="Nov"/>
    <d v="2023-11-15T00:00:00"/>
    <s v="CUST747"/>
    <x v="0"/>
    <x v="1"/>
    <n v="23"/>
    <x v="0"/>
    <n v="1"/>
    <n v="30"/>
    <n v="30"/>
    <n v="0.44999999999999996"/>
    <n v="0.6"/>
  </r>
  <r>
    <n v="748"/>
    <n v="20"/>
    <n v="3"/>
    <n v="2023"/>
    <s v="Mon"/>
    <s v="Mar"/>
    <d v="2023-03-20T00:00:00"/>
    <s v="CUST748"/>
    <x v="0"/>
    <x v="1"/>
    <n v="25"/>
    <x v="1"/>
    <n v="3"/>
    <n v="50"/>
    <n v="150"/>
    <n v="2.25"/>
    <n v="3"/>
  </r>
  <r>
    <n v="749"/>
    <n v="3"/>
    <n v="5"/>
    <n v="2023"/>
    <s v="Wed"/>
    <s v="May"/>
    <d v="2023-05-03T00:00:00"/>
    <s v="CUST749"/>
    <x v="0"/>
    <x v="0"/>
    <n v="42"/>
    <x v="0"/>
    <n v="1"/>
    <n v="30"/>
    <n v="30"/>
    <n v="0.44999999999999996"/>
    <n v="0.6"/>
  </r>
  <r>
    <n v="750"/>
    <n v="6"/>
    <n v="3"/>
    <n v="2023"/>
    <s v="Mon"/>
    <s v="Mar"/>
    <d v="2023-03-06T00:00:00"/>
    <s v="CUST750"/>
    <x v="1"/>
    <x v="0"/>
    <n v="35"/>
    <x v="1"/>
    <n v="3"/>
    <n v="25"/>
    <n v="75"/>
    <n v="1.125"/>
    <n v="1.5"/>
  </r>
  <r>
    <n v="751"/>
    <n v="31"/>
    <n v="8"/>
    <n v="2023"/>
    <s v="Thu"/>
    <s v="Aug"/>
    <d v="2023-08-31T00:00:00"/>
    <s v="CUST751"/>
    <x v="1"/>
    <x v="0"/>
    <n v="42"/>
    <x v="1"/>
    <n v="2"/>
    <n v="25"/>
    <n v="50"/>
    <n v="0.75"/>
    <n v="1"/>
  </r>
  <r>
    <n v="752"/>
    <n v="9"/>
    <n v="12"/>
    <n v="2023"/>
    <s v="Sat"/>
    <s v="Dec"/>
    <d v="2023-12-09T00:00:00"/>
    <s v="CUST752"/>
    <x v="0"/>
    <x v="1"/>
    <n v="29"/>
    <x v="1"/>
    <n v="2"/>
    <n v="50"/>
    <n v="100"/>
    <n v="1.5"/>
    <n v="2"/>
  </r>
  <r>
    <n v="753"/>
    <n v="28"/>
    <n v="2"/>
    <n v="2023"/>
    <s v="Tue"/>
    <s v="Feb"/>
    <d v="2023-02-28T00:00:00"/>
    <s v="CUST753"/>
    <x v="1"/>
    <x v="0"/>
    <n v="32"/>
    <x v="1"/>
    <n v="1"/>
    <n v="30"/>
    <n v="30"/>
    <n v="0.44999999999999996"/>
    <n v="0.6"/>
  </r>
  <r>
    <n v="754"/>
    <n v="16"/>
    <n v="10"/>
    <n v="2023"/>
    <s v="Mon"/>
    <s v="Oct"/>
    <d v="2023-10-16T00:00:00"/>
    <s v="CUST754"/>
    <x v="1"/>
    <x v="0"/>
    <n v="43"/>
    <x v="2"/>
    <n v="4"/>
    <n v="25"/>
    <n v="100"/>
    <n v="1.5"/>
    <n v="2"/>
  </r>
  <r>
    <n v="755"/>
    <n v="22"/>
    <n v="4"/>
    <n v="2023"/>
    <s v="Sat"/>
    <s v="Apr"/>
    <d v="2023-04-22T00:00:00"/>
    <s v="CUST755"/>
    <x v="1"/>
    <x v="2"/>
    <n v="58"/>
    <x v="1"/>
    <n v="3"/>
    <n v="25"/>
    <n v="75"/>
    <n v="1.125"/>
    <n v="1.5"/>
  </r>
  <r>
    <n v="756"/>
    <n v="27"/>
    <n v="8"/>
    <n v="2023"/>
    <s v="Sun"/>
    <s v="Aug"/>
    <d v="2023-08-27T00:00:00"/>
    <s v="CUST756"/>
    <x v="1"/>
    <x v="2"/>
    <n v="62"/>
    <x v="2"/>
    <n v="4"/>
    <n v="300"/>
    <n v="1200"/>
    <n v="18"/>
    <n v="24"/>
  </r>
  <r>
    <n v="757"/>
    <n v="25"/>
    <n v="12"/>
    <n v="2023"/>
    <s v="Mon"/>
    <s v="Dec"/>
    <d v="2023-12-25T00:00:00"/>
    <s v="CUST757"/>
    <x v="1"/>
    <x v="0"/>
    <n v="43"/>
    <x v="2"/>
    <n v="4"/>
    <n v="300"/>
    <n v="1200"/>
    <n v="18"/>
    <n v="24"/>
  </r>
  <r>
    <n v="758"/>
    <n v="12"/>
    <n v="5"/>
    <n v="2023"/>
    <s v="Fri"/>
    <s v="May"/>
    <d v="2023-05-12T00:00:00"/>
    <s v="CUST758"/>
    <x v="0"/>
    <x v="2"/>
    <n v="64"/>
    <x v="1"/>
    <n v="4"/>
    <n v="25"/>
    <n v="100"/>
    <n v="1.5"/>
    <n v="2"/>
  </r>
  <r>
    <n v="759"/>
    <n v="8"/>
    <n v="7"/>
    <n v="2023"/>
    <s v="Sat"/>
    <s v="Jul"/>
    <d v="2023-07-08T00:00:00"/>
    <s v="CUST759"/>
    <x v="0"/>
    <x v="0"/>
    <n v="49"/>
    <x v="2"/>
    <n v="2"/>
    <n v="50"/>
    <n v="100"/>
    <n v="1.5"/>
    <n v="2"/>
  </r>
  <r>
    <n v="760"/>
    <n v="27"/>
    <n v="3"/>
    <n v="2023"/>
    <s v="Mon"/>
    <s v="Mar"/>
    <d v="2023-03-27T00:00:00"/>
    <s v="CUST760"/>
    <x v="0"/>
    <x v="1"/>
    <n v="27"/>
    <x v="0"/>
    <n v="1"/>
    <n v="500"/>
    <n v="500"/>
    <n v="7.5"/>
    <n v="10"/>
  </r>
  <r>
    <n v="761"/>
    <n v="7"/>
    <n v="11"/>
    <n v="2023"/>
    <s v="Tue"/>
    <s v="Nov"/>
    <d v="2023-11-07T00:00:00"/>
    <s v="CUST761"/>
    <x v="1"/>
    <x v="0"/>
    <n v="33"/>
    <x v="1"/>
    <n v="1"/>
    <n v="500"/>
    <n v="500"/>
    <n v="7.5"/>
    <n v="10"/>
  </r>
  <r>
    <n v="762"/>
    <n v="7"/>
    <n v="11"/>
    <n v="2023"/>
    <s v="Tue"/>
    <s v="Nov"/>
    <d v="2023-11-07T00:00:00"/>
    <s v="CUST762"/>
    <x v="1"/>
    <x v="1"/>
    <n v="24"/>
    <x v="2"/>
    <n v="2"/>
    <n v="25"/>
    <n v="50"/>
    <n v="0.75"/>
    <n v="1"/>
  </r>
  <r>
    <n v="763"/>
    <n v="28"/>
    <n v="2"/>
    <n v="2023"/>
    <s v="Tue"/>
    <s v="Feb"/>
    <d v="2023-02-28T00:00:00"/>
    <s v="CUST763"/>
    <x v="0"/>
    <x v="0"/>
    <n v="34"/>
    <x v="1"/>
    <n v="2"/>
    <n v="25"/>
    <n v="50"/>
    <n v="0.75"/>
    <n v="1"/>
  </r>
  <r>
    <n v="764"/>
    <n v="25"/>
    <n v="3"/>
    <n v="2023"/>
    <s v="Sat"/>
    <s v="Mar"/>
    <d v="2023-03-25T00:00:00"/>
    <s v="CUST764"/>
    <x v="1"/>
    <x v="0"/>
    <n v="40"/>
    <x v="1"/>
    <n v="1"/>
    <n v="25"/>
    <n v="25"/>
    <n v="0.375"/>
    <n v="0.5"/>
  </r>
  <r>
    <n v="765"/>
    <n v="9"/>
    <n v="6"/>
    <n v="2023"/>
    <s v="Fri"/>
    <s v="Jun"/>
    <d v="2023-06-09T00:00:00"/>
    <s v="CUST765"/>
    <x v="0"/>
    <x v="0"/>
    <n v="43"/>
    <x v="1"/>
    <n v="4"/>
    <n v="50"/>
    <n v="200"/>
    <n v="3"/>
    <n v="4"/>
  </r>
  <r>
    <n v="766"/>
    <n v="25"/>
    <n v="2"/>
    <n v="2023"/>
    <s v="Sat"/>
    <s v="Feb"/>
    <d v="2023-02-25T00:00:00"/>
    <s v="CUST766"/>
    <x v="0"/>
    <x v="0"/>
    <n v="38"/>
    <x v="2"/>
    <n v="3"/>
    <n v="300"/>
    <n v="900"/>
    <n v="13.5"/>
    <n v="18"/>
  </r>
  <r>
    <n v="767"/>
    <n v="24"/>
    <n v="10"/>
    <n v="2023"/>
    <s v="Tue"/>
    <s v="Oct"/>
    <d v="2023-10-24T00:00:00"/>
    <s v="CUST767"/>
    <x v="0"/>
    <x v="0"/>
    <n v="39"/>
    <x v="0"/>
    <n v="3"/>
    <n v="25"/>
    <n v="75"/>
    <n v="1.125"/>
    <n v="1.5"/>
  </r>
  <r>
    <n v="768"/>
    <n v="14"/>
    <n v="1"/>
    <n v="2023"/>
    <s v="Sat"/>
    <s v="Jan"/>
    <d v="2023-01-14T00:00:00"/>
    <s v="CUST768"/>
    <x v="1"/>
    <x v="1"/>
    <n v="24"/>
    <x v="0"/>
    <n v="3"/>
    <n v="25"/>
    <n v="75"/>
    <n v="1.125"/>
    <n v="1.5"/>
  </r>
  <r>
    <n v="769"/>
    <n v="9"/>
    <n v="6"/>
    <n v="2023"/>
    <s v="Fri"/>
    <s v="Jun"/>
    <d v="2023-06-09T00:00:00"/>
    <s v="CUST769"/>
    <x v="1"/>
    <x v="0"/>
    <n v="31"/>
    <x v="2"/>
    <n v="4"/>
    <n v="30"/>
    <n v="120"/>
    <n v="1.7999999999999998"/>
    <n v="2.4"/>
  </r>
  <r>
    <n v="770"/>
    <n v="22"/>
    <n v="10"/>
    <n v="2023"/>
    <s v="Sun"/>
    <s v="Oct"/>
    <d v="2023-10-22T00:00:00"/>
    <s v="CUST770"/>
    <x v="0"/>
    <x v="0"/>
    <n v="32"/>
    <x v="1"/>
    <n v="1"/>
    <n v="50"/>
    <n v="50"/>
    <n v="0.75"/>
    <n v="1"/>
  </r>
  <r>
    <n v="771"/>
    <n v="13"/>
    <n v="12"/>
    <n v="2023"/>
    <s v="Wed"/>
    <s v="Dec"/>
    <d v="2023-12-13T00:00:00"/>
    <s v="CUST771"/>
    <x v="0"/>
    <x v="1"/>
    <n v="24"/>
    <x v="2"/>
    <n v="2"/>
    <n v="25"/>
    <n v="50"/>
    <n v="0.75"/>
    <n v="1"/>
  </r>
  <r>
    <n v="772"/>
    <n v="12"/>
    <n v="7"/>
    <n v="2023"/>
    <s v="Wed"/>
    <s v="Jul"/>
    <d v="2023-07-12T00:00:00"/>
    <s v="CUST772"/>
    <x v="0"/>
    <x v="1"/>
    <n v="26"/>
    <x v="2"/>
    <n v="1"/>
    <n v="30"/>
    <n v="30"/>
    <n v="0.44999999999999996"/>
    <n v="0.6"/>
  </r>
  <r>
    <n v="773"/>
    <n v="23"/>
    <n v="7"/>
    <n v="2023"/>
    <s v="Sun"/>
    <s v="Jul"/>
    <d v="2023-07-23T00:00:00"/>
    <s v="CUST773"/>
    <x v="0"/>
    <x v="1"/>
    <n v="25"/>
    <x v="2"/>
    <n v="4"/>
    <n v="500"/>
    <n v="2000"/>
    <n v="30"/>
    <n v="40"/>
  </r>
  <r>
    <n v="774"/>
    <n v="12"/>
    <n v="4"/>
    <n v="2023"/>
    <s v="Wed"/>
    <s v="Apr"/>
    <d v="2023-04-12T00:00:00"/>
    <s v="CUST774"/>
    <x v="1"/>
    <x v="0"/>
    <n v="40"/>
    <x v="1"/>
    <n v="2"/>
    <n v="25"/>
    <n v="50"/>
    <n v="0.75"/>
    <n v="1"/>
  </r>
  <r>
    <n v="775"/>
    <n v="8"/>
    <n v="2"/>
    <n v="2023"/>
    <s v="Wed"/>
    <s v="Feb"/>
    <d v="2023-02-08T00:00:00"/>
    <s v="CUST775"/>
    <x v="1"/>
    <x v="0"/>
    <n v="46"/>
    <x v="2"/>
    <n v="4"/>
    <n v="25"/>
    <n v="100"/>
    <n v="1.5"/>
    <n v="2"/>
  </r>
  <r>
    <n v="776"/>
    <n v="31"/>
    <n v="10"/>
    <n v="2023"/>
    <s v="Tue"/>
    <s v="Oct"/>
    <d v="2023-10-31T00:00:00"/>
    <s v="CUST776"/>
    <x v="0"/>
    <x v="0"/>
    <n v="35"/>
    <x v="1"/>
    <n v="3"/>
    <n v="30"/>
    <n v="90"/>
    <n v="1.3499999999999999"/>
    <n v="1.8"/>
  </r>
  <r>
    <n v="777"/>
    <n v="20"/>
    <n v="12"/>
    <n v="2023"/>
    <s v="Wed"/>
    <s v="Dec"/>
    <d v="2023-12-20T00:00:00"/>
    <s v="CUST777"/>
    <x v="0"/>
    <x v="0"/>
    <n v="48"/>
    <x v="2"/>
    <n v="3"/>
    <n v="50"/>
    <n v="150"/>
    <n v="2.25"/>
    <n v="3"/>
  </r>
  <r>
    <n v="778"/>
    <n v="18"/>
    <n v="11"/>
    <n v="2023"/>
    <s v="Sat"/>
    <s v="Nov"/>
    <d v="2023-11-18T00:00:00"/>
    <s v="CUST778"/>
    <x v="1"/>
    <x v="0"/>
    <n v="47"/>
    <x v="0"/>
    <n v="4"/>
    <n v="25"/>
    <n v="100"/>
    <n v="1.5"/>
    <n v="2"/>
  </r>
  <r>
    <n v="779"/>
    <n v="5"/>
    <n v="5"/>
    <n v="2023"/>
    <s v="Fri"/>
    <s v="May"/>
    <d v="2023-05-05T00:00:00"/>
    <s v="CUST779"/>
    <x v="1"/>
    <x v="2"/>
    <n v="56"/>
    <x v="2"/>
    <n v="2"/>
    <n v="500"/>
    <n v="1000"/>
    <n v="15"/>
    <n v="20"/>
  </r>
  <r>
    <n v="780"/>
    <n v="22"/>
    <n v="2"/>
    <n v="2023"/>
    <s v="Wed"/>
    <s v="Feb"/>
    <d v="2023-02-22T00:00:00"/>
    <s v="CUST780"/>
    <x v="0"/>
    <x v="2"/>
    <n v="52"/>
    <x v="2"/>
    <n v="2"/>
    <n v="25"/>
    <n v="50"/>
    <n v="0.75"/>
    <n v="1"/>
  </r>
  <r>
    <n v="781"/>
    <n v="23"/>
    <n v="12"/>
    <n v="2023"/>
    <s v="Sat"/>
    <s v="Dec"/>
    <d v="2023-12-23T00:00:00"/>
    <s v="CUST781"/>
    <x v="0"/>
    <x v="0"/>
    <n v="35"/>
    <x v="0"/>
    <n v="1"/>
    <n v="500"/>
    <n v="500"/>
    <n v="7.5"/>
    <n v="10"/>
  </r>
  <r>
    <n v="782"/>
    <n v="4"/>
    <n v="6"/>
    <n v="2023"/>
    <s v="Sun"/>
    <s v="Jun"/>
    <d v="2023-06-04T00:00:00"/>
    <s v="CUST782"/>
    <x v="0"/>
    <x v="2"/>
    <n v="59"/>
    <x v="1"/>
    <n v="3"/>
    <n v="300"/>
    <n v="900"/>
    <n v="13.5"/>
    <n v="18"/>
  </r>
  <r>
    <n v="783"/>
    <n v="17"/>
    <n v="12"/>
    <n v="2023"/>
    <s v="Sun"/>
    <s v="Dec"/>
    <d v="2023-12-17T00:00:00"/>
    <s v="CUST783"/>
    <x v="1"/>
    <x v="2"/>
    <n v="56"/>
    <x v="1"/>
    <n v="1"/>
    <n v="300"/>
    <n v="300"/>
    <n v="4.5"/>
    <n v="6"/>
  </r>
  <r>
    <n v="784"/>
    <n v="4"/>
    <n v="11"/>
    <n v="2023"/>
    <s v="Sat"/>
    <s v="Nov"/>
    <d v="2023-11-04T00:00:00"/>
    <s v="CUST784"/>
    <x v="1"/>
    <x v="0"/>
    <n v="34"/>
    <x v="2"/>
    <n v="1"/>
    <n v="500"/>
    <n v="500"/>
    <n v="7.5"/>
    <n v="10"/>
  </r>
  <r>
    <n v="785"/>
    <n v="3"/>
    <n v="3"/>
    <n v="2023"/>
    <s v="Fri"/>
    <s v="Mar"/>
    <d v="2023-03-03T00:00:00"/>
    <s v="CUST785"/>
    <x v="1"/>
    <x v="0"/>
    <n v="31"/>
    <x v="0"/>
    <n v="4"/>
    <n v="50"/>
    <n v="200"/>
    <n v="3"/>
    <n v="4"/>
  </r>
  <r>
    <n v="786"/>
    <n v="17"/>
    <n v="10"/>
    <n v="2023"/>
    <s v="Tue"/>
    <s v="Oct"/>
    <d v="2023-10-17T00:00:00"/>
    <s v="CUST786"/>
    <x v="0"/>
    <x v="0"/>
    <n v="48"/>
    <x v="1"/>
    <n v="4"/>
    <n v="25"/>
    <n v="100"/>
    <n v="1.5"/>
    <n v="2"/>
  </r>
  <r>
    <n v="787"/>
    <n v="22"/>
    <n v="1"/>
    <n v="2023"/>
    <s v="Sun"/>
    <s v="Jan"/>
    <d v="2023-01-22T00:00:00"/>
    <s v="CUST787"/>
    <x v="0"/>
    <x v="0"/>
    <n v="41"/>
    <x v="2"/>
    <n v="1"/>
    <n v="25"/>
    <n v="25"/>
    <n v="0.375"/>
    <n v="0.5"/>
  </r>
  <r>
    <n v="788"/>
    <n v="27"/>
    <n v="6"/>
    <n v="2023"/>
    <s v="Tue"/>
    <s v="Jun"/>
    <d v="2023-06-27T00:00:00"/>
    <s v="CUST788"/>
    <x v="1"/>
    <x v="2"/>
    <n v="52"/>
    <x v="0"/>
    <n v="3"/>
    <n v="300"/>
    <n v="900"/>
    <n v="13.5"/>
    <n v="18"/>
  </r>
  <r>
    <n v="789"/>
    <n v="30"/>
    <n v="9"/>
    <n v="2023"/>
    <s v="Sat"/>
    <s v="Sep"/>
    <d v="2023-09-30T00:00:00"/>
    <s v="CUST789"/>
    <x v="1"/>
    <x v="2"/>
    <n v="61"/>
    <x v="1"/>
    <n v="4"/>
    <n v="500"/>
    <n v="2000"/>
    <n v="30"/>
    <n v="40"/>
  </r>
  <r>
    <n v="790"/>
    <n v="8"/>
    <n v="8"/>
    <n v="2023"/>
    <s v="Tue"/>
    <s v="Aug"/>
    <d v="2023-08-08T00:00:00"/>
    <s v="CUST790"/>
    <x v="0"/>
    <x v="2"/>
    <n v="62"/>
    <x v="1"/>
    <n v="1"/>
    <n v="25"/>
    <n v="25"/>
    <n v="0.375"/>
    <n v="0.5"/>
  </r>
  <r>
    <n v="791"/>
    <n v="5"/>
    <n v="12"/>
    <n v="2023"/>
    <s v="Tue"/>
    <s v="Dec"/>
    <d v="2023-12-05T00:00:00"/>
    <s v="CUST791"/>
    <x v="1"/>
    <x v="2"/>
    <n v="51"/>
    <x v="0"/>
    <n v="1"/>
    <n v="25"/>
    <n v="25"/>
    <n v="0.375"/>
    <n v="0.5"/>
  </r>
  <r>
    <n v="792"/>
    <n v="9"/>
    <n v="7"/>
    <n v="2023"/>
    <s v="Sun"/>
    <s v="Jul"/>
    <d v="2023-07-09T00:00:00"/>
    <s v="CUST792"/>
    <x v="1"/>
    <x v="1"/>
    <n v="20"/>
    <x v="0"/>
    <n v="1"/>
    <n v="50"/>
    <n v="50"/>
    <n v="0.75"/>
    <n v="1"/>
  </r>
  <r>
    <n v="793"/>
    <n v="5"/>
    <n v="2"/>
    <n v="2023"/>
    <s v="Sun"/>
    <s v="Feb"/>
    <d v="2023-02-05T00:00:00"/>
    <s v="CUST793"/>
    <x v="0"/>
    <x v="2"/>
    <n v="54"/>
    <x v="0"/>
    <n v="1"/>
    <n v="30"/>
    <n v="30"/>
    <n v="0.44999999999999996"/>
    <n v="0.6"/>
  </r>
  <r>
    <n v="794"/>
    <n v="17"/>
    <n v="9"/>
    <n v="2023"/>
    <s v="Sun"/>
    <s v="Sep"/>
    <d v="2023-09-17T00:00:00"/>
    <s v="CUST794"/>
    <x v="1"/>
    <x v="2"/>
    <n v="60"/>
    <x v="0"/>
    <n v="1"/>
    <n v="300"/>
    <n v="300"/>
    <n v="4.5"/>
    <n v="6"/>
  </r>
  <r>
    <n v="795"/>
    <n v="28"/>
    <n v="11"/>
    <n v="2023"/>
    <s v="Tue"/>
    <s v="Nov"/>
    <d v="2023-11-28T00:00:00"/>
    <s v="CUST795"/>
    <x v="0"/>
    <x v="2"/>
    <n v="57"/>
    <x v="2"/>
    <n v="1"/>
    <n v="300"/>
    <n v="300"/>
    <n v="4.5"/>
    <n v="6"/>
  </r>
  <r>
    <n v="796"/>
    <n v="24"/>
    <n v="6"/>
    <n v="2023"/>
    <s v="Sat"/>
    <s v="Jun"/>
    <d v="2023-06-24T00:00:00"/>
    <s v="CUST796"/>
    <x v="0"/>
    <x v="0"/>
    <n v="43"/>
    <x v="0"/>
    <n v="4"/>
    <n v="30"/>
    <n v="120"/>
    <n v="1.7999999999999998"/>
    <n v="2.4"/>
  </r>
  <r>
    <n v="797"/>
    <n v="7"/>
    <n v="1"/>
    <n v="2023"/>
    <s v="Sat"/>
    <s v="Jan"/>
    <d v="2023-01-07T00:00:00"/>
    <s v="CUST797"/>
    <x v="0"/>
    <x v="0"/>
    <n v="40"/>
    <x v="1"/>
    <n v="3"/>
    <n v="25"/>
    <n v="75"/>
    <n v="1.125"/>
    <n v="1.5"/>
  </r>
  <r>
    <n v="798"/>
    <n v="4"/>
    <n v="8"/>
    <n v="2023"/>
    <s v="Fri"/>
    <s v="Aug"/>
    <d v="2023-08-04T00:00:00"/>
    <s v="CUST798"/>
    <x v="0"/>
    <x v="2"/>
    <n v="61"/>
    <x v="1"/>
    <n v="1"/>
    <n v="50"/>
    <n v="50"/>
    <n v="0.75"/>
    <n v="1"/>
  </r>
  <r>
    <n v="799"/>
    <n v="8"/>
    <n v="9"/>
    <n v="2023"/>
    <s v="Fri"/>
    <s v="Sep"/>
    <d v="2023-09-08T00:00:00"/>
    <s v="CUST799"/>
    <x v="0"/>
    <x v="2"/>
    <n v="56"/>
    <x v="2"/>
    <n v="2"/>
    <n v="50"/>
    <n v="100"/>
    <n v="1.5"/>
    <n v="2"/>
  </r>
  <r>
    <n v="800"/>
    <n v="24"/>
    <n v="2"/>
    <n v="2023"/>
    <s v="Fri"/>
    <s v="Feb"/>
    <d v="2023-02-24T00:00:00"/>
    <s v="CUST800"/>
    <x v="0"/>
    <x v="0"/>
    <n v="32"/>
    <x v="1"/>
    <n v="4"/>
    <n v="300"/>
    <n v="1200"/>
    <n v="18"/>
    <n v="24"/>
  </r>
  <r>
    <n v="801"/>
    <n v="10"/>
    <n v="8"/>
    <n v="2023"/>
    <s v="Thu"/>
    <s v="Aug"/>
    <d v="2023-08-10T00:00:00"/>
    <s v="CUST801"/>
    <x v="0"/>
    <x v="1"/>
    <n v="21"/>
    <x v="1"/>
    <n v="4"/>
    <n v="50"/>
    <n v="200"/>
    <n v="3"/>
    <n v="4"/>
  </r>
  <r>
    <n v="802"/>
    <n v="5"/>
    <n v="7"/>
    <n v="2023"/>
    <s v="Wed"/>
    <s v="Jul"/>
    <d v="2023-07-05T00:00:00"/>
    <s v="CUST802"/>
    <x v="1"/>
    <x v="0"/>
    <n v="46"/>
    <x v="0"/>
    <n v="1"/>
    <n v="30"/>
    <n v="30"/>
    <n v="0.44999999999999996"/>
    <n v="0.6"/>
  </r>
  <r>
    <n v="803"/>
    <n v="22"/>
    <n v="11"/>
    <n v="2023"/>
    <s v="Wed"/>
    <s v="Nov"/>
    <d v="2023-11-22T00:00:00"/>
    <s v="CUST803"/>
    <x v="0"/>
    <x v="0"/>
    <n v="39"/>
    <x v="1"/>
    <n v="4"/>
    <n v="25"/>
    <n v="100"/>
    <n v="1.5"/>
    <n v="2"/>
  </r>
  <r>
    <n v="804"/>
    <n v="24"/>
    <n v="8"/>
    <n v="2023"/>
    <s v="Thu"/>
    <s v="Aug"/>
    <d v="2023-08-24T00:00:00"/>
    <s v="CUST804"/>
    <x v="0"/>
    <x v="0"/>
    <n v="42"/>
    <x v="2"/>
    <n v="1"/>
    <n v="30"/>
    <n v="30"/>
    <n v="0.44999999999999996"/>
    <n v="0.6"/>
  </r>
  <r>
    <n v="805"/>
    <n v="29"/>
    <n v="12"/>
    <n v="2023"/>
    <s v="Fri"/>
    <s v="Dec"/>
    <d v="2023-12-29T00:00:00"/>
    <s v="CUST805"/>
    <x v="1"/>
    <x v="0"/>
    <n v="30"/>
    <x v="0"/>
    <n v="3"/>
    <n v="500"/>
    <n v="1500"/>
    <n v="22.5"/>
    <n v="30"/>
  </r>
  <r>
    <n v="806"/>
    <n v="20"/>
    <n v="3"/>
    <n v="2023"/>
    <s v="Mon"/>
    <s v="Mar"/>
    <d v="2023-03-20T00:00:00"/>
    <s v="CUST806"/>
    <x v="1"/>
    <x v="0"/>
    <n v="35"/>
    <x v="0"/>
    <n v="3"/>
    <n v="300"/>
    <n v="900"/>
    <n v="13.5"/>
    <n v="18"/>
  </r>
  <r>
    <n v="807"/>
    <n v="11"/>
    <n v="8"/>
    <n v="2023"/>
    <s v="Fri"/>
    <s v="Aug"/>
    <d v="2023-08-11T00:00:00"/>
    <s v="CUST807"/>
    <x v="1"/>
    <x v="2"/>
    <n v="50"/>
    <x v="2"/>
    <n v="4"/>
    <n v="50"/>
    <n v="200"/>
    <n v="3"/>
    <n v="4"/>
  </r>
  <r>
    <n v="808"/>
    <n v="1"/>
    <n v="4"/>
    <n v="2023"/>
    <s v="Sat"/>
    <s v="Apr"/>
    <d v="2023-04-01T00:00:00"/>
    <s v="CUST808"/>
    <x v="0"/>
    <x v="0"/>
    <n v="33"/>
    <x v="0"/>
    <n v="4"/>
    <n v="500"/>
    <n v="2000"/>
    <n v="30"/>
    <n v="40"/>
  </r>
  <r>
    <n v="809"/>
    <n v="25"/>
    <n v="9"/>
    <n v="2023"/>
    <s v="Mon"/>
    <s v="Sep"/>
    <d v="2023-09-25T00:00:00"/>
    <s v="CUST809"/>
    <x v="1"/>
    <x v="2"/>
    <n v="62"/>
    <x v="0"/>
    <n v="2"/>
    <n v="50"/>
    <n v="100"/>
    <n v="1.5"/>
    <n v="2"/>
  </r>
  <r>
    <n v="810"/>
    <n v="30"/>
    <n v="11"/>
    <n v="2023"/>
    <s v="Thu"/>
    <s v="Nov"/>
    <d v="2023-11-30T00:00:00"/>
    <s v="CUST810"/>
    <x v="0"/>
    <x v="2"/>
    <n v="59"/>
    <x v="2"/>
    <n v="4"/>
    <n v="25"/>
    <n v="100"/>
    <n v="1.5"/>
    <n v="2"/>
  </r>
  <r>
    <n v="811"/>
    <n v="19"/>
    <n v="5"/>
    <n v="2023"/>
    <s v="Fri"/>
    <s v="May"/>
    <d v="2023-05-19T00:00:00"/>
    <s v="CUST811"/>
    <x v="0"/>
    <x v="2"/>
    <n v="61"/>
    <x v="0"/>
    <n v="2"/>
    <n v="25"/>
    <n v="50"/>
    <n v="0.75"/>
    <n v="1"/>
  </r>
  <r>
    <n v="812"/>
    <n v="12"/>
    <n v="11"/>
    <n v="2023"/>
    <s v="Sun"/>
    <s v="Nov"/>
    <d v="2023-11-12T00:00:00"/>
    <s v="CUST812"/>
    <x v="0"/>
    <x v="1"/>
    <n v="19"/>
    <x v="2"/>
    <n v="3"/>
    <n v="25"/>
    <n v="75"/>
    <n v="1.125"/>
    <n v="1.5"/>
  </r>
  <r>
    <n v="813"/>
    <n v="3"/>
    <n v="10"/>
    <n v="2023"/>
    <s v="Tue"/>
    <s v="Oct"/>
    <d v="2023-10-03T00:00:00"/>
    <s v="CUST813"/>
    <x v="0"/>
    <x v="2"/>
    <n v="52"/>
    <x v="2"/>
    <n v="3"/>
    <n v="50"/>
    <n v="150"/>
    <n v="2.25"/>
    <n v="3"/>
  </r>
  <r>
    <n v="814"/>
    <n v="5"/>
    <n v="9"/>
    <n v="2023"/>
    <s v="Tue"/>
    <s v="Sep"/>
    <d v="2023-09-05T00:00:00"/>
    <s v="CUST814"/>
    <x v="1"/>
    <x v="2"/>
    <n v="59"/>
    <x v="1"/>
    <n v="1"/>
    <n v="500"/>
    <n v="500"/>
    <n v="7.5"/>
    <n v="10"/>
  </r>
  <r>
    <n v="815"/>
    <n v="27"/>
    <n v="8"/>
    <n v="2023"/>
    <s v="Sun"/>
    <s v="Aug"/>
    <d v="2023-08-27T00:00:00"/>
    <s v="CUST815"/>
    <x v="1"/>
    <x v="2"/>
    <n v="51"/>
    <x v="1"/>
    <n v="3"/>
    <n v="25"/>
    <n v="75"/>
    <n v="1.125"/>
    <n v="1.5"/>
  </r>
  <r>
    <n v="816"/>
    <n v="12"/>
    <n v="8"/>
    <n v="2023"/>
    <s v="Sat"/>
    <s v="Aug"/>
    <d v="2023-08-12T00:00:00"/>
    <s v="CUST816"/>
    <x v="0"/>
    <x v="0"/>
    <n v="47"/>
    <x v="0"/>
    <n v="2"/>
    <n v="500"/>
    <n v="1000"/>
    <n v="15"/>
    <n v="20"/>
  </r>
  <r>
    <n v="817"/>
    <n v="31"/>
    <n v="10"/>
    <n v="2023"/>
    <s v="Tue"/>
    <s v="Oct"/>
    <d v="2023-10-31T00:00:00"/>
    <s v="CUST817"/>
    <x v="0"/>
    <x v="0"/>
    <n v="30"/>
    <x v="0"/>
    <n v="4"/>
    <n v="50"/>
    <n v="200"/>
    <n v="3"/>
    <n v="4"/>
  </r>
  <r>
    <n v="818"/>
    <n v="18"/>
    <n v="5"/>
    <n v="2023"/>
    <s v="Thu"/>
    <s v="May"/>
    <d v="2023-05-18T00:00:00"/>
    <s v="CUST818"/>
    <x v="0"/>
    <x v="0"/>
    <n v="30"/>
    <x v="2"/>
    <n v="1"/>
    <n v="500"/>
    <n v="500"/>
    <n v="7.5"/>
    <n v="10"/>
  </r>
  <r>
    <n v="819"/>
    <n v="15"/>
    <n v="6"/>
    <n v="2023"/>
    <s v="Thu"/>
    <s v="Jun"/>
    <d v="2023-06-15T00:00:00"/>
    <s v="CUST819"/>
    <x v="1"/>
    <x v="0"/>
    <n v="35"/>
    <x v="0"/>
    <n v="2"/>
    <n v="50"/>
    <n v="100"/>
    <n v="1.5"/>
    <n v="2"/>
  </r>
  <r>
    <n v="820"/>
    <n v="6"/>
    <n v="5"/>
    <n v="2023"/>
    <s v="Sat"/>
    <s v="May"/>
    <d v="2023-05-06T00:00:00"/>
    <s v="CUST820"/>
    <x v="0"/>
    <x v="0"/>
    <n v="49"/>
    <x v="2"/>
    <n v="4"/>
    <n v="50"/>
    <n v="200"/>
    <n v="3"/>
    <n v="4"/>
  </r>
  <r>
    <n v="821"/>
    <n v="14"/>
    <n v="2"/>
    <n v="2023"/>
    <s v="Tue"/>
    <s v="Feb"/>
    <d v="2023-02-14T00:00:00"/>
    <s v="CUST821"/>
    <x v="0"/>
    <x v="0"/>
    <n v="49"/>
    <x v="2"/>
    <n v="1"/>
    <n v="300"/>
    <n v="300"/>
    <n v="4.5"/>
    <n v="6"/>
  </r>
  <r>
    <n v="822"/>
    <n v="23"/>
    <n v="5"/>
    <n v="2023"/>
    <s v="Tue"/>
    <s v="May"/>
    <d v="2023-05-23T00:00:00"/>
    <s v="CUST822"/>
    <x v="1"/>
    <x v="2"/>
    <n v="52"/>
    <x v="0"/>
    <n v="3"/>
    <n v="50"/>
    <n v="150"/>
    <n v="2.25"/>
    <n v="3"/>
  </r>
  <r>
    <n v="823"/>
    <n v="19"/>
    <n v="8"/>
    <n v="2023"/>
    <s v="Sat"/>
    <s v="Aug"/>
    <d v="2023-08-19T00:00:00"/>
    <s v="CUST823"/>
    <x v="1"/>
    <x v="2"/>
    <n v="56"/>
    <x v="2"/>
    <n v="2"/>
    <n v="50"/>
    <n v="100"/>
    <n v="1.5"/>
    <n v="2"/>
  </r>
  <r>
    <n v="824"/>
    <n v="5"/>
    <n v="5"/>
    <n v="2023"/>
    <s v="Fri"/>
    <s v="May"/>
    <d v="2023-05-05T00:00:00"/>
    <s v="CUST824"/>
    <x v="0"/>
    <x v="2"/>
    <n v="63"/>
    <x v="1"/>
    <n v="4"/>
    <n v="30"/>
    <n v="120"/>
    <n v="1.7999999999999998"/>
    <n v="2.4"/>
  </r>
  <r>
    <n v="825"/>
    <n v="26"/>
    <n v="8"/>
    <n v="2023"/>
    <s v="Sat"/>
    <s v="Aug"/>
    <d v="2023-08-26T00:00:00"/>
    <s v="CUST825"/>
    <x v="1"/>
    <x v="0"/>
    <n v="46"/>
    <x v="0"/>
    <n v="1"/>
    <n v="25"/>
    <n v="25"/>
    <n v="0.375"/>
    <n v="0.5"/>
  </r>
  <r>
    <n v="826"/>
    <n v="19"/>
    <n v="10"/>
    <n v="2023"/>
    <s v="Thu"/>
    <s v="Oct"/>
    <d v="2023-10-19T00:00:00"/>
    <s v="CUST826"/>
    <x v="1"/>
    <x v="0"/>
    <n v="46"/>
    <x v="1"/>
    <n v="1"/>
    <n v="300"/>
    <n v="300"/>
    <n v="4.5"/>
    <n v="6"/>
  </r>
  <r>
    <n v="827"/>
    <n v="9"/>
    <n v="11"/>
    <n v="2023"/>
    <s v="Thu"/>
    <s v="Nov"/>
    <d v="2023-11-09T00:00:00"/>
    <s v="CUST827"/>
    <x v="0"/>
    <x v="2"/>
    <n v="61"/>
    <x v="0"/>
    <n v="3"/>
    <n v="300"/>
    <n v="900"/>
    <n v="13.5"/>
    <n v="18"/>
  </r>
  <r>
    <n v="828"/>
    <n v="9"/>
    <n v="12"/>
    <n v="2023"/>
    <s v="Sat"/>
    <s v="Dec"/>
    <d v="2023-12-09T00:00:00"/>
    <s v="CUST828"/>
    <x v="1"/>
    <x v="0"/>
    <n v="33"/>
    <x v="2"/>
    <n v="4"/>
    <n v="300"/>
    <n v="1200"/>
    <n v="18"/>
    <n v="24"/>
  </r>
  <r>
    <n v="829"/>
    <n v="14"/>
    <n v="7"/>
    <n v="2023"/>
    <s v="Fri"/>
    <s v="Jul"/>
    <d v="2023-07-14T00:00:00"/>
    <s v="CUST829"/>
    <x v="0"/>
    <x v="2"/>
    <n v="61"/>
    <x v="0"/>
    <n v="3"/>
    <n v="30"/>
    <n v="90"/>
    <n v="1.3499999999999999"/>
    <n v="1.8"/>
  </r>
  <r>
    <n v="830"/>
    <n v="22"/>
    <n v="6"/>
    <n v="2023"/>
    <s v="Thu"/>
    <s v="Jun"/>
    <d v="2023-06-22T00:00:00"/>
    <s v="CUST830"/>
    <x v="1"/>
    <x v="2"/>
    <n v="64"/>
    <x v="1"/>
    <n v="3"/>
    <n v="50"/>
    <n v="150"/>
    <n v="2.25"/>
    <n v="3"/>
  </r>
  <r>
    <n v="831"/>
    <n v="15"/>
    <n v="1"/>
    <n v="2023"/>
    <s v="Sun"/>
    <s v="Jan"/>
    <d v="2023-01-15T00:00:00"/>
    <s v="CUST831"/>
    <x v="0"/>
    <x v="1"/>
    <n v="27"/>
    <x v="2"/>
    <n v="4"/>
    <n v="25"/>
    <n v="100"/>
    <n v="1.5"/>
    <n v="2"/>
  </r>
  <r>
    <n v="832"/>
    <n v="11"/>
    <n v="9"/>
    <n v="2023"/>
    <s v="Mon"/>
    <s v="Sep"/>
    <d v="2023-09-11T00:00:00"/>
    <s v="CUST832"/>
    <x v="0"/>
    <x v="0"/>
    <n v="47"/>
    <x v="0"/>
    <n v="4"/>
    <n v="500"/>
    <n v="2000"/>
    <n v="30"/>
    <n v="40"/>
  </r>
  <r>
    <n v="833"/>
    <n v="16"/>
    <n v="6"/>
    <n v="2023"/>
    <s v="Fri"/>
    <s v="Jun"/>
    <d v="2023-06-16T00:00:00"/>
    <s v="CUST833"/>
    <x v="0"/>
    <x v="0"/>
    <n v="42"/>
    <x v="0"/>
    <n v="4"/>
    <n v="50"/>
    <n v="200"/>
    <n v="3"/>
    <n v="4"/>
  </r>
  <r>
    <n v="834"/>
    <n v="4"/>
    <n v="4"/>
    <n v="2023"/>
    <s v="Tue"/>
    <s v="Apr"/>
    <d v="2023-04-04T00:00:00"/>
    <s v="CUST834"/>
    <x v="1"/>
    <x v="2"/>
    <n v="56"/>
    <x v="0"/>
    <n v="2"/>
    <n v="30"/>
    <n v="60"/>
    <n v="0.89999999999999991"/>
    <n v="1.2"/>
  </r>
  <r>
    <n v="835"/>
    <n v="7"/>
    <n v="9"/>
    <n v="2023"/>
    <s v="Thu"/>
    <s v="Sep"/>
    <d v="2023-09-07T00:00:00"/>
    <s v="CUST835"/>
    <x v="0"/>
    <x v="0"/>
    <n v="37"/>
    <x v="1"/>
    <n v="4"/>
    <n v="50"/>
    <n v="200"/>
    <n v="3"/>
    <n v="4"/>
  </r>
  <r>
    <n v="836"/>
    <n v="19"/>
    <n v="4"/>
    <n v="2023"/>
    <s v="Wed"/>
    <s v="Apr"/>
    <d v="2023-04-19T00:00:00"/>
    <s v="CUST836"/>
    <x v="1"/>
    <x v="1"/>
    <n v="22"/>
    <x v="1"/>
    <n v="1"/>
    <n v="50"/>
    <n v="50"/>
    <n v="0.75"/>
    <n v="1"/>
  </r>
  <r>
    <n v="837"/>
    <n v="1"/>
    <n v="7"/>
    <n v="2023"/>
    <s v="Sat"/>
    <s v="Jul"/>
    <d v="2023-07-01T00:00:00"/>
    <s v="CUST837"/>
    <x v="0"/>
    <x v="1"/>
    <n v="18"/>
    <x v="0"/>
    <n v="3"/>
    <n v="30"/>
    <n v="90"/>
    <n v="1.3499999999999999"/>
    <n v="1.8"/>
  </r>
  <r>
    <n v="838"/>
    <n v="13"/>
    <n v="5"/>
    <n v="2023"/>
    <s v="Sat"/>
    <s v="May"/>
    <d v="2023-05-13T00:00:00"/>
    <s v="CUST838"/>
    <x v="0"/>
    <x v="0"/>
    <n v="47"/>
    <x v="2"/>
    <n v="2"/>
    <n v="300"/>
    <n v="600"/>
    <n v="9"/>
    <n v="12"/>
  </r>
  <r>
    <n v="839"/>
    <n v="24"/>
    <n v="6"/>
    <n v="2023"/>
    <s v="Sat"/>
    <s v="Jun"/>
    <d v="2023-06-24T00:00:00"/>
    <s v="CUST839"/>
    <x v="1"/>
    <x v="1"/>
    <n v="20"/>
    <x v="2"/>
    <n v="4"/>
    <n v="300"/>
    <n v="1200"/>
    <n v="18"/>
    <n v="24"/>
  </r>
  <r>
    <n v="840"/>
    <n v="24"/>
    <n v="5"/>
    <n v="2023"/>
    <s v="Wed"/>
    <s v="May"/>
    <d v="2023-05-24T00:00:00"/>
    <s v="CUST840"/>
    <x v="0"/>
    <x v="2"/>
    <n v="62"/>
    <x v="1"/>
    <n v="2"/>
    <n v="25"/>
    <n v="50"/>
    <n v="0.75"/>
    <n v="1"/>
  </r>
  <r>
    <n v="841"/>
    <n v="2"/>
    <n v="11"/>
    <n v="2023"/>
    <s v="Thu"/>
    <s v="Nov"/>
    <d v="2023-11-02T00:00:00"/>
    <s v="CUST841"/>
    <x v="0"/>
    <x v="0"/>
    <n v="31"/>
    <x v="2"/>
    <n v="4"/>
    <n v="25"/>
    <n v="100"/>
    <n v="1.5"/>
    <n v="2"/>
  </r>
  <r>
    <n v="842"/>
    <n v="26"/>
    <n v="12"/>
    <n v="2023"/>
    <s v="Tue"/>
    <s v="Dec"/>
    <d v="2023-12-26T00:00:00"/>
    <s v="CUST842"/>
    <x v="1"/>
    <x v="0"/>
    <n v="47"/>
    <x v="1"/>
    <n v="2"/>
    <n v="300"/>
    <n v="600"/>
    <n v="9"/>
    <n v="12"/>
  </r>
  <r>
    <n v="843"/>
    <n v="22"/>
    <n v="5"/>
    <n v="2023"/>
    <s v="Mon"/>
    <s v="May"/>
    <d v="2023-05-22T00:00:00"/>
    <s v="CUST843"/>
    <x v="0"/>
    <x v="1"/>
    <n v="21"/>
    <x v="0"/>
    <n v="3"/>
    <n v="500"/>
    <n v="1500"/>
    <n v="22.5"/>
    <n v="30"/>
  </r>
  <r>
    <n v="844"/>
    <n v="12"/>
    <n v="10"/>
    <n v="2023"/>
    <s v="Thu"/>
    <s v="Oct"/>
    <d v="2023-10-12T00:00:00"/>
    <s v="CUST844"/>
    <x v="0"/>
    <x v="0"/>
    <n v="35"/>
    <x v="1"/>
    <n v="3"/>
    <n v="50"/>
    <n v="150"/>
    <n v="2.25"/>
    <n v="3"/>
  </r>
  <r>
    <n v="845"/>
    <n v="6"/>
    <n v="1"/>
    <n v="2023"/>
    <s v="Fri"/>
    <s v="Jan"/>
    <d v="2023-01-06T00:00:00"/>
    <s v="CUST845"/>
    <x v="0"/>
    <x v="2"/>
    <n v="54"/>
    <x v="1"/>
    <n v="1"/>
    <n v="500"/>
    <n v="500"/>
    <n v="7.5"/>
    <n v="10"/>
  </r>
  <r>
    <n v="846"/>
    <n v="22"/>
    <n v="9"/>
    <n v="2023"/>
    <s v="Fri"/>
    <s v="Sep"/>
    <d v="2023-09-22T00:00:00"/>
    <s v="CUST846"/>
    <x v="0"/>
    <x v="0"/>
    <n v="42"/>
    <x v="0"/>
    <n v="1"/>
    <n v="50"/>
    <n v="50"/>
    <n v="0.75"/>
    <n v="1"/>
  </r>
  <r>
    <n v="847"/>
    <n v="8"/>
    <n v="4"/>
    <n v="2023"/>
    <s v="Sat"/>
    <s v="Apr"/>
    <d v="2023-04-08T00:00:00"/>
    <s v="CUST847"/>
    <x v="1"/>
    <x v="1"/>
    <n v="18"/>
    <x v="2"/>
    <n v="4"/>
    <n v="300"/>
    <n v="1200"/>
    <n v="18"/>
    <n v="24"/>
  </r>
  <r>
    <n v="848"/>
    <n v="13"/>
    <n v="2"/>
    <n v="2023"/>
    <s v="Mon"/>
    <s v="Feb"/>
    <d v="2023-02-13T00:00:00"/>
    <s v="CUST848"/>
    <x v="1"/>
    <x v="2"/>
    <n v="63"/>
    <x v="1"/>
    <n v="3"/>
    <n v="25"/>
    <n v="75"/>
    <n v="1.125"/>
    <n v="1.5"/>
  </r>
  <r>
    <n v="849"/>
    <n v="4"/>
    <n v="5"/>
    <n v="2023"/>
    <s v="Thu"/>
    <s v="May"/>
    <d v="2023-05-04T00:00:00"/>
    <s v="CUST849"/>
    <x v="0"/>
    <x v="0"/>
    <n v="32"/>
    <x v="1"/>
    <n v="2"/>
    <n v="25"/>
    <n v="50"/>
    <n v="0.75"/>
    <n v="1"/>
  </r>
  <r>
    <n v="850"/>
    <n v="28"/>
    <n v="7"/>
    <n v="2023"/>
    <s v="Fri"/>
    <s v="Jul"/>
    <d v="2023-07-28T00:00:00"/>
    <s v="CUST850"/>
    <x v="1"/>
    <x v="1"/>
    <n v="26"/>
    <x v="0"/>
    <n v="2"/>
    <n v="500"/>
    <n v="1000"/>
    <n v="15"/>
    <n v="20"/>
  </r>
  <r>
    <n v="851"/>
    <n v="8"/>
    <n v="9"/>
    <n v="2023"/>
    <s v="Fri"/>
    <s v="Sep"/>
    <d v="2023-09-08T00:00:00"/>
    <s v="CUST851"/>
    <x v="0"/>
    <x v="0"/>
    <n v="32"/>
    <x v="2"/>
    <n v="2"/>
    <n v="25"/>
    <n v="50"/>
    <n v="0.75"/>
    <n v="1"/>
  </r>
  <r>
    <n v="852"/>
    <n v="12"/>
    <n v="10"/>
    <n v="2023"/>
    <s v="Thu"/>
    <s v="Oct"/>
    <d v="2023-10-12T00:00:00"/>
    <s v="CUST852"/>
    <x v="1"/>
    <x v="0"/>
    <n v="41"/>
    <x v="1"/>
    <n v="1"/>
    <n v="300"/>
    <n v="300"/>
    <n v="4.5"/>
    <n v="6"/>
  </r>
  <r>
    <n v="853"/>
    <n v="4"/>
    <n v="5"/>
    <n v="2023"/>
    <s v="Thu"/>
    <s v="May"/>
    <d v="2023-05-04T00:00:00"/>
    <s v="CUST853"/>
    <x v="0"/>
    <x v="1"/>
    <n v="21"/>
    <x v="0"/>
    <n v="2"/>
    <n v="500"/>
    <n v="1000"/>
    <n v="15"/>
    <n v="20"/>
  </r>
  <r>
    <n v="854"/>
    <n v="20"/>
    <n v="12"/>
    <n v="2023"/>
    <s v="Wed"/>
    <s v="Dec"/>
    <d v="2023-12-20T00:00:00"/>
    <s v="CUST854"/>
    <x v="0"/>
    <x v="1"/>
    <n v="29"/>
    <x v="1"/>
    <n v="1"/>
    <n v="50"/>
    <n v="50"/>
    <n v="0.75"/>
    <n v="1"/>
  </r>
  <r>
    <n v="855"/>
    <n v="1"/>
    <n v="9"/>
    <n v="2023"/>
    <s v="Fri"/>
    <s v="Sep"/>
    <d v="2023-09-01T00:00:00"/>
    <s v="CUST855"/>
    <x v="0"/>
    <x v="2"/>
    <n v="54"/>
    <x v="0"/>
    <n v="1"/>
    <n v="25"/>
    <n v="25"/>
    <n v="0.375"/>
    <n v="0.5"/>
  </r>
  <r>
    <n v="856"/>
    <n v="27"/>
    <n v="11"/>
    <n v="2023"/>
    <s v="Mon"/>
    <s v="Nov"/>
    <d v="2023-11-27T00:00:00"/>
    <s v="CUST856"/>
    <x v="0"/>
    <x v="2"/>
    <n v="54"/>
    <x v="2"/>
    <n v="4"/>
    <n v="30"/>
    <n v="120"/>
    <n v="1.7999999999999998"/>
    <n v="2.4"/>
  </r>
  <r>
    <n v="857"/>
    <n v="31"/>
    <n v="12"/>
    <n v="2023"/>
    <s v="Sun"/>
    <s v="Dec"/>
    <d v="2023-12-31T00:00:00"/>
    <s v="CUST857"/>
    <x v="0"/>
    <x v="2"/>
    <n v="60"/>
    <x v="2"/>
    <n v="2"/>
    <n v="25"/>
    <n v="50"/>
    <n v="0.75"/>
    <n v="1"/>
  </r>
  <r>
    <n v="858"/>
    <n v="9"/>
    <n v="9"/>
    <n v="2023"/>
    <s v="Sat"/>
    <s v="Sep"/>
    <d v="2023-09-09T00:00:00"/>
    <s v="CUST858"/>
    <x v="0"/>
    <x v="1"/>
    <n v="23"/>
    <x v="2"/>
    <n v="2"/>
    <n v="50"/>
    <n v="100"/>
    <n v="1.5"/>
    <n v="2"/>
  </r>
  <r>
    <n v="859"/>
    <n v="18"/>
    <n v="8"/>
    <n v="2023"/>
    <s v="Fri"/>
    <s v="Aug"/>
    <d v="2023-08-18T00:00:00"/>
    <s v="CUST859"/>
    <x v="1"/>
    <x v="2"/>
    <n v="56"/>
    <x v="2"/>
    <n v="3"/>
    <n v="500"/>
    <n v="1500"/>
    <n v="22.5"/>
    <n v="30"/>
  </r>
  <r>
    <n v="860"/>
    <n v="9"/>
    <n v="1"/>
    <n v="2023"/>
    <s v="Mon"/>
    <s v="Jan"/>
    <d v="2023-01-09T00:00:00"/>
    <s v="CUST860"/>
    <x v="0"/>
    <x v="2"/>
    <n v="63"/>
    <x v="1"/>
    <n v="4"/>
    <n v="50"/>
    <n v="200"/>
    <n v="3"/>
    <n v="4"/>
  </r>
  <r>
    <n v="861"/>
    <n v="17"/>
    <n v="2"/>
    <n v="2023"/>
    <s v="Fri"/>
    <s v="Feb"/>
    <d v="2023-02-17T00:00:00"/>
    <s v="CUST861"/>
    <x v="1"/>
    <x v="0"/>
    <n v="41"/>
    <x v="1"/>
    <n v="3"/>
    <n v="30"/>
    <n v="90"/>
    <n v="1.3499999999999999"/>
    <n v="1.8"/>
  </r>
  <r>
    <n v="862"/>
    <n v="31"/>
    <n v="5"/>
    <n v="2023"/>
    <s v="Wed"/>
    <s v="May"/>
    <d v="2023-05-31T00:00:00"/>
    <s v="CUST862"/>
    <x v="0"/>
    <x v="1"/>
    <n v="28"/>
    <x v="2"/>
    <n v="4"/>
    <n v="300"/>
    <n v="1200"/>
    <n v="18"/>
    <n v="24"/>
  </r>
  <r>
    <n v="863"/>
    <n v="24"/>
    <n v="4"/>
    <n v="2023"/>
    <s v="Mon"/>
    <s v="Apr"/>
    <d v="2023-04-24T00:00:00"/>
    <s v="CUST863"/>
    <x v="1"/>
    <x v="0"/>
    <n v="30"/>
    <x v="2"/>
    <n v="2"/>
    <n v="25"/>
    <n v="50"/>
    <n v="0.75"/>
    <n v="1"/>
  </r>
  <r>
    <n v="864"/>
    <n v="27"/>
    <n v="7"/>
    <n v="2023"/>
    <s v="Thu"/>
    <s v="Jul"/>
    <d v="2023-07-27T00:00:00"/>
    <s v="CUST864"/>
    <x v="1"/>
    <x v="2"/>
    <n v="51"/>
    <x v="2"/>
    <n v="1"/>
    <n v="500"/>
    <n v="500"/>
    <n v="7.5"/>
    <n v="10"/>
  </r>
  <r>
    <n v="865"/>
    <n v="21"/>
    <n v="12"/>
    <n v="2023"/>
    <s v="Thu"/>
    <s v="Dec"/>
    <d v="2023-12-21T00:00:00"/>
    <s v="CUST865"/>
    <x v="1"/>
    <x v="0"/>
    <n v="42"/>
    <x v="1"/>
    <n v="1"/>
    <n v="300"/>
    <n v="300"/>
    <n v="4.5"/>
    <n v="6"/>
  </r>
  <r>
    <n v="866"/>
    <n v="5"/>
    <n v="5"/>
    <n v="2023"/>
    <s v="Fri"/>
    <s v="May"/>
    <d v="2023-05-05T00:00:00"/>
    <s v="CUST866"/>
    <x v="0"/>
    <x v="1"/>
    <n v="24"/>
    <x v="2"/>
    <n v="1"/>
    <n v="50"/>
    <n v="50"/>
    <n v="0.75"/>
    <n v="1"/>
  </r>
  <r>
    <n v="867"/>
    <n v="6"/>
    <n v="6"/>
    <n v="2023"/>
    <s v="Tue"/>
    <s v="Jun"/>
    <d v="2023-06-06T00:00:00"/>
    <s v="CUST867"/>
    <x v="0"/>
    <x v="1"/>
    <n v="21"/>
    <x v="2"/>
    <n v="1"/>
    <n v="500"/>
    <n v="500"/>
    <n v="7.5"/>
    <n v="10"/>
  </r>
  <r>
    <n v="868"/>
    <n v="6"/>
    <n v="12"/>
    <n v="2023"/>
    <s v="Wed"/>
    <s v="Dec"/>
    <d v="2023-12-06T00:00:00"/>
    <s v="CUST868"/>
    <x v="1"/>
    <x v="1"/>
    <n v="25"/>
    <x v="2"/>
    <n v="1"/>
    <n v="300"/>
    <n v="300"/>
    <n v="4.5"/>
    <n v="6"/>
  </r>
  <r>
    <n v="869"/>
    <n v="25"/>
    <n v="10"/>
    <n v="2023"/>
    <s v="Wed"/>
    <s v="Oct"/>
    <d v="2023-10-25T00:00:00"/>
    <s v="CUST869"/>
    <x v="0"/>
    <x v="0"/>
    <n v="37"/>
    <x v="0"/>
    <n v="3"/>
    <n v="500"/>
    <n v="1500"/>
    <n v="22.5"/>
    <n v="30"/>
  </r>
  <r>
    <n v="870"/>
    <n v="8"/>
    <n v="7"/>
    <n v="2023"/>
    <s v="Sat"/>
    <s v="Jul"/>
    <d v="2023-07-08T00:00:00"/>
    <s v="CUST870"/>
    <x v="1"/>
    <x v="0"/>
    <n v="46"/>
    <x v="2"/>
    <n v="4"/>
    <n v="30"/>
    <n v="120"/>
    <n v="1.7999999999999998"/>
    <n v="2.4"/>
  </r>
  <r>
    <n v="871"/>
    <n v="31"/>
    <n v="8"/>
    <n v="2023"/>
    <s v="Thu"/>
    <s v="Aug"/>
    <d v="2023-08-31T00:00:00"/>
    <s v="CUST871"/>
    <x v="0"/>
    <x v="2"/>
    <n v="62"/>
    <x v="0"/>
    <n v="2"/>
    <n v="30"/>
    <n v="60"/>
    <n v="0.89999999999999991"/>
    <n v="1.2"/>
  </r>
  <r>
    <n v="872"/>
    <n v="11"/>
    <n v="10"/>
    <n v="2023"/>
    <s v="Wed"/>
    <s v="Oct"/>
    <d v="2023-10-11T00:00:00"/>
    <s v="CUST872"/>
    <x v="1"/>
    <x v="2"/>
    <n v="63"/>
    <x v="0"/>
    <n v="3"/>
    <n v="25"/>
    <n v="75"/>
    <n v="1.125"/>
    <n v="1.5"/>
  </r>
  <r>
    <n v="873"/>
    <n v="29"/>
    <n v="9"/>
    <n v="2023"/>
    <s v="Fri"/>
    <s v="Sep"/>
    <d v="2023-09-29T00:00:00"/>
    <s v="CUST873"/>
    <x v="1"/>
    <x v="1"/>
    <n v="27"/>
    <x v="2"/>
    <n v="4"/>
    <n v="25"/>
    <n v="100"/>
    <n v="1.5"/>
    <n v="2"/>
  </r>
  <r>
    <n v="874"/>
    <n v="26"/>
    <n v="6"/>
    <n v="2023"/>
    <s v="Mon"/>
    <s v="Jun"/>
    <d v="2023-06-26T00:00:00"/>
    <s v="CUST874"/>
    <x v="0"/>
    <x v="2"/>
    <n v="60"/>
    <x v="0"/>
    <n v="1"/>
    <n v="30"/>
    <n v="30"/>
    <n v="0.44999999999999996"/>
    <n v="0.6"/>
  </r>
  <r>
    <n v="875"/>
    <n v="6"/>
    <n v="8"/>
    <n v="2023"/>
    <s v="Sun"/>
    <s v="Aug"/>
    <d v="2023-08-06T00:00:00"/>
    <s v="CUST875"/>
    <x v="1"/>
    <x v="2"/>
    <n v="51"/>
    <x v="2"/>
    <n v="4"/>
    <n v="500"/>
    <n v="2000"/>
    <n v="30"/>
    <n v="40"/>
  </r>
  <r>
    <n v="876"/>
    <n v="9"/>
    <n v="10"/>
    <n v="2023"/>
    <s v="Mon"/>
    <s v="Oct"/>
    <d v="2023-10-09T00:00:00"/>
    <s v="CUST876"/>
    <x v="0"/>
    <x v="0"/>
    <n v="43"/>
    <x v="1"/>
    <n v="4"/>
    <n v="30"/>
    <n v="120"/>
    <n v="1.7999999999999998"/>
    <n v="2.4"/>
  </r>
  <r>
    <n v="877"/>
    <n v="19"/>
    <n v="6"/>
    <n v="2023"/>
    <s v="Mon"/>
    <s v="Jun"/>
    <d v="2023-06-19T00:00:00"/>
    <s v="CUST877"/>
    <x v="1"/>
    <x v="2"/>
    <n v="58"/>
    <x v="1"/>
    <n v="1"/>
    <n v="25"/>
    <n v="25"/>
    <n v="0.375"/>
    <n v="0.5"/>
  </r>
  <r>
    <n v="878"/>
    <n v="30"/>
    <n v="6"/>
    <n v="2023"/>
    <s v="Fri"/>
    <s v="Jun"/>
    <d v="2023-06-30T00:00:00"/>
    <s v="CUST878"/>
    <x v="1"/>
    <x v="1"/>
    <n v="20"/>
    <x v="1"/>
    <n v="1"/>
    <n v="30"/>
    <n v="30"/>
    <n v="0.44999999999999996"/>
    <n v="0.6"/>
  </r>
  <r>
    <n v="879"/>
    <n v="26"/>
    <n v="12"/>
    <n v="2023"/>
    <s v="Tue"/>
    <s v="Dec"/>
    <d v="2023-12-26T00:00:00"/>
    <s v="CUST879"/>
    <x v="0"/>
    <x v="1"/>
    <n v="23"/>
    <x v="1"/>
    <n v="1"/>
    <n v="30"/>
    <n v="30"/>
    <n v="0.44999999999999996"/>
    <n v="0.6"/>
  </r>
  <r>
    <n v="880"/>
    <n v="21"/>
    <n v="8"/>
    <n v="2023"/>
    <s v="Mon"/>
    <s v="Aug"/>
    <d v="2023-08-21T00:00:00"/>
    <s v="CUST880"/>
    <x v="0"/>
    <x v="1"/>
    <n v="22"/>
    <x v="0"/>
    <n v="2"/>
    <n v="500"/>
    <n v="1000"/>
    <n v="15"/>
    <n v="20"/>
  </r>
  <r>
    <n v="881"/>
    <n v="19"/>
    <n v="5"/>
    <n v="2023"/>
    <s v="Fri"/>
    <s v="May"/>
    <d v="2023-05-19T00:00:00"/>
    <s v="CUST881"/>
    <x v="0"/>
    <x v="1"/>
    <n v="22"/>
    <x v="2"/>
    <n v="1"/>
    <n v="300"/>
    <n v="300"/>
    <n v="4.5"/>
    <n v="6"/>
  </r>
  <r>
    <n v="882"/>
    <n v="6"/>
    <n v="6"/>
    <n v="2023"/>
    <s v="Tue"/>
    <s v="Jun"/>
    <d v="2023-06-06T00:00:00"/>
    <s v="CUST882"/>
    <x v="1"/>
    <x v="2"/>
    <n v="64"/>
    <x v="2"/>
    <n v="2"/>
    <n v="25"/>
    <n v="50"/>
    <n v="0.75"/>
    <n v="1"/>
  </r>
  <r>
    <n v="883"/>
    <n v="9"/>
    <n v="5"/>
    <n v="2023"/>
    <s v="Tue"/>
    <s v="May"/>
    <d v="2023-05-09T00:00:00"/>
    <s v="CUST883"/>
    <x v="0"/>
    <x v="0"/>
    <n v="40"/>
    <x v="2"/>
    <n v="1"/>
    <n v="500"/>
    <n v="500"/>
    <n v="7.5"/>
    <n v="10"/>
  </r>
  <r>
    <n v="884"/>
    <n v="29"/>
    <n v="4"/>
    <n v="2023"/>
    <s v="Sat"/>
    <s v="Apr"/>
    <d v="2023-04-29T00:00:00"/>
    <s v="CUST884"/>
    <x v="1"/>
    <x v="1"/>
    <n v="26"/>
    <x v="1"/>
    <n v="2"/>
    <n v="30"/>
    <n v="60"/>
    <n v="0.89999999999999991"/>
    <n v="1.2"/>
  </r>
  <r>
    <n v="885"/>
    <n v="3"/>
    <n v="3"/>
    <n v="2023"/>
    <s v="Fri"/>
    <s v="Mar"/>
    <d v="2023-03-03T00:00:00"/>
    <s v="CUST885"/>
    <x v="1"/>
    <x v="2"/>
    <n v="52"/>
    <x v="1"/>
    <n v="4"/>
    <n v="30"/>
    <n v="120"/>
    <n v="1.7999999999999998"/>
    <n v="2.4"/>
  </r>
  <r>
    <n v="886"/>
    <n v="9"/>
    <n v="4"/>
    <n v="2023"/>
    <s v="Sun"/>
    <s v="Apr"/>
    <d v="2023-04-09T00:00:00"/>
    <s v="CUST886"/>
    <x v="0"/>
    <x v="0"/>
    <n v="37"/>
    <x v="2"/>
    <n v="3"/>
    <n v="300"/>
    <n v="900"/>
    <n v="13.5"/>
    <n v="18"/>
  </r>
  <r>
    <n v="887"/>
    <n v="11"/>
    <n v="6"/>
    <n v="2023"/>
    <s v="Sun"/>
    <s v="Jun"/>
    <d v="2023-06-11T00:00:00"/>
    <s v="CUST887"/>
    <x v="0"/>
    <x v="2"/>
    <n v="59"/>
    <x v="1"/>
    <n v="4"/>
    <n v="25"/>
    <n v="100"/>
    <n v="1.5"/>
    <n v="2"/>
  </r>
  <r>
    <n v="888"/>
    <n v="3"/>
    <n v="3"/>
    <n v="2023"/>
    <s v="Fri"/>
    <s v="Mar"/>
    <d v="2023-03-03T00:00:00"/>
    <s v="CUST888"/>
    <x v="1"/>
    <x v="2"/>
    <n v="52"/>
    <x v="2"/>
    <n v="4"/>
    <n v="25"/>
    <n v="100"/>
    <n v="1.5"/>
    <n v="2"/>
  </r>
  <r>
    <n v="889"/>
    <n v="2"/>
    <n v="10"/>
    <n v="2023"/>
    <s v="Mon"/>
    <s v="Oct"/>
    <d v="2023-10-02T00:00:00"/>
    <s v="CUST889"/>
    <x v="1"/>
    <x v="0"/>
    <n v="35"/>
    <x v="2"/>
    <n v="1"/>
    <n v="50"/>
    <n v="50"/>
    <n v="0.75"/>
    <n v="1"/>
  </r>
  <r>
    <n v="890"/>
    <n v="20"/>
    <n v="12"/>
    <n v="2023"/>
    <s v="Wed"/>
    <s v="Dec"/>
    <d v="2023-12-20T00:00:00"/>
    <s v="CUST890"/>
    <x v="0"/>
    <x v="0"/>
    <n v="34"/>
    <x v="2"/>
    <n v="2"/>
    <n v="25"/>
    <n v="50"/>
    <n v="0.75"/>
    <n v="1"/>
  </r>
  <r>
    <n v="891"/>
    <n v="5"/>
    <n v="4"/>
    <n v="2023"/>
    <s v="Wed"/>
    <s v="Apr"/>
    <d v="2023-04-05T00:00:00"/>
    <s v="CUST891"/>
    <x v="0"/>
    <x v="0"/>
    <n v="41"/>
    <x v="2"/>
    <n v="3"/>
    <n v="300"/>
    <n v="900"/>
    <n v="13.5"/>
    <n v="18"/>
  </r>
  <r>
    <n v="892"/>
    <n v="9"/>
    <n v="4"/>
    <n v="2023"/>
    <s v="Sun"/>
    <s v="Apr"/>
    <d v="2023-04-09T00:00:00"/>
    <s v="CUST892"/>
    <x v="0"/>
    <x v="1"/>
    <n v="20"/>
    <x v="2"/>
    <n v="1"/>
    <n v="50"/>
    <n v="50"/>
    <n v="0.75"/>
    <n v="1"/>
  </r>
  <r>
    <n v="893"/>
    <n v="21"/>
    <n v="4"/>
    <n v="2023"/>
    <s v="Fri"/>
    <s v="Apr"/>
    <d v="2023-04-21T00:00:00"/>
    <s v="CUST893"/>
    <x v="0"/>
    <x v="0"/>
    <n v="49"/>
    <x v="2"/>
    <n v="1"/>
    <n v="50"/>
    <n v="50"/>
    <n v="0.75"/>
    <n v="1"/>
  </r>
  <r>
    <n v="894"/>
    <n v="5"/>
    <n v="9"/>
    <n v="2023"/>
    <s v="Tue"/>
    <s v="Sep"/>
    <d v="2023-09-05T00:00:00"/>
    <s v="CUST894"/>
    <x v="0"/>
    <x v="2"/>
    <n v="52"/>
    <x v="2"/>
    <n v="1"/>
    <n v="30"/>
    <n v="30"/>
    <n v="0.44999999999999996"/>
    <n v="0.6"/>
  </r>
  <r>
    <n v="895"/>
    <n v="22"/>
    <n v="5"/>
    <n v="2023"/>
    <s v="Mon"/>
    <s v="May"/>
    <d v="2023-05-22T00:00:00"/>
    <s v="CUST895"/>
    <x v="1"/>
    <x v="2"/>
    <n v="55"/>
    <x v="1"/>
    <n v="4"/>
    <n v="30"/>
    <n v="120"/>
    <n v="1.7999999999999998"/>
    <n v="2.4"/>
  </r>
  <r>
    <n v="896"/>
    <n v="29"/>
    <n v="10"/>
    <n v="2023"/>
    <s v="Sun"/>
    <s v="Oct"/>
    <d v="2023-10-29T00:00:00"/>
    <s v="CUST896"/>
    <x v="1"/>
    <x v="0"/>
    <n v="30"/>
    <x v="2"/>
    <n v="2"/>
    <n v="25"/>
    <n v="50"/>
    <n v="0.75"/>
    <n v="1"/>
  </r>
  <r>
    <n v="897"/>
    <n v="26"/>
    <n v="9"/>
    <n v="2023"/>
    <s v="Tue"/>
    <s v="Sep"/>
    <d v="2023-09-26T00:00:00"/>
    <s v="CUST897"/>
    <x v="1"/>
    <x v="2"/>
    <n v="64"/>
    <x v="2"/>
    <n v="2"/>
    <n v="50"/>
    <n v="100"/>
    <n v="1.5"/>
    <n v="2"/>
  </r>
  <r>
    <n v="898"/>
    <n v="2"/>
    <n v="11"/>
    <n v="2023"/>
    <s v="Thu"/>
    <s v="Nov"/>
    <d v="2023-11-02T00:00:00"/>
    <s v="CUST898"/>
    <x v="1"/>
    <x v="0"/>
    <n v="42"/>
    <x v="1"/>
    <n v="3"/>
    <n v="30"/>
    <n v="90"/>
    <n v="1.3499999999999999"/>
    <n v="1.8"/>
  </r>
  <r>
    <n v="899"/>
    <n v="25"/>
    <n v="5"/>
    <n v="2023"/>
    <s v="Thu"/>
    <s v="May"/>
    <d v="2023-05-25T00:00:00"/>
    <s v="CUST899"/>
    <x v="0"/>
    <x v="1"/>
    <n v="26"/>
    <x v="1"/>
    <n v="2"/>
    <n v="300"/>
    <n v="600"/>
    <n v="9"/>
    <n v="12"/>
  </r>
  <r>
    <n v="900"/>
    <n v="21"/>
    <n v="2"/>
    <n v="2023"/>
    <s v="Tue"/>
    <s v="Feb"/>
    <d v="2023-02-21T00:00:00"/>
    <s v="CUST900"/>
    <x v="0"/>
    <x v="1"/>
    <n v="21"/>
    <x v="1"/>
    <n v="2"/>
    <n v="30"/>
    <n v="60"/>
    <n v="0.89999999999999991"/>
    <n v="1.2"/>
  </r>
  <r>
    <n v="901"/>
    <n v="10"/>
    <n v="4"/>
    <n v="2023"/>
    <s v="Mon"/>
    <s v="Apr"/>
    <d v="2023-04-10T00:00:00"/>
    <s v="CUST901"/>
    <x v="0"/>
    <x v="0"/>
    <n v="31"/>
    <x v="2"/>
    <n v="1"/>
    <n v="30"/>
    <n v="30"/>
    <n v="0.44999999999999996"/>
    <n v="0.6"/>
  </r>
  <r>
    <n v="902"/>
    <n v="1"/>
    <n v="6"/>
    <n v="2023"/>
    <s v="Thu"/>
    <s v="Jun"/>
    <d v="2023-06-01T00:00:00"/>
    <s v="CUST902"/>
    <x v="1"/>
    <x v="2"/>
    <n v="54"/>
    <x v="0"/>
    <n v="1"/>
    <n v="50"/>
    <n v="50"/>
    <n v="0.75"/>
    <n v="1"/>
  </r>
  <r>
    <n v="903"/>
    <n v="27"/>
    <n v="4"/>
    <n v="2023"/>
    <s v="Thu"/>
    <s v="Apr"/>
    <d v="2023-04-27T00:00:00"/>
    <s v="CUST903"/>
    <x v="1"/>
    <x v="2"/>
    <n v="51"/>
    <x v="0"/>
    <n v="4"/>
    <n v="50"/>
    <n v="200"/>
    <n v="3"/>
    <n v="4"/>
  </r>
  <r>
    <n v="904"/>
    <n v="4"/>
    <n v="7"/>
    <n v="2023"/>
    <s v="Tue"/>
    <s v="Jul"/>
    <d v="2023-07-04T00:00:00"/>
    <s v="CUST904"/>
    <x v="0"/>
    <x v="1"/>
    <n v="28"/>
    <x v="1"/>
    <n v="1"/>
    <n v="500"/>
    <n v="500"/>
    <n v="7.5"/>
    <n v="10"/>
  </r>
  <r>
    <n v="905"/>
    <n v="2"/>
    <n v="4"/>
    <n v="2023"/>
    <s v="Sun"/>
    <s v="Apr"/>
    <d v="2023-04-02T00:00:00"/>
    <s v="CUST905"/>
    <x v="0"/>
    <x v="2"/>
    <n v="58"/>
    <x v="0"/>
    <n v="1"/>
    <n v="300"/>
    <n v="300"/>
    <n v="4.5"/>
    <n v="6"/>
  </r>
  <r>
    <n v="906"/>
    <n v="4"/>
    <n v="6"/>
    <n v="2023"/>
    <s v="Sun"/>
    <s v="Jun"/>
    <d v="2023-06-04T00:00:00"/>
    <s v="CUST906"/>
    <x v="1"/>
    <x v="1"/>
    <n v="20"/>
    <x v="1"/>
    <n v="1"/>
    <n v="50"/>
    <n v="50"/>
    <n v="0.75"/>
    <n v="1"/>
  </r>
  <r>
    <n v="907"/>
    <n v="8"/>
    <n v="1"/>
    <n v="2023"/>
    <s v="Sun"/>
    <s v="Jan"/>
    <d v="2023-01-08T00:00:00"/>
    <s v="CUST907"/>
    <x v="1"/>
    <x v="0"/>
    <n v="45"/>
    <x v="2"/>
    <n v="1"/>
    <n v="25"/>
    <n v="25"/>
    <n v="0.375"/>
    <n v="0.5"/>
  </r>
  <r>
    <n v="908"/>
    <n v="29"/>
    <n v="12"/>
    <n v="2023"/>
    <s v="Fri"/>
    <s v="Dec"/>
    <d v="2023-12-29T00:00:00"/>
    <s v="CUST908"/>
    <x v="0"/>
    <x v="0"/>
    <n v="46"/>
    <x v="0"/>
    <n v="4"/>
    <n v="300"/>
    <n v="1200"/>
    <n v="18"/>
    <n v="24"/>
  </r>
  <r>
    <n v="909"/>
    <n v="1"/>
    <n v="10"/>
    <n v="2023"/>
    <s v="Sun"/>
    <s v="Oct"/>
    <d v="2023-10-01T00:00:00"/>
    <s v="CUST909"/>
    <x v="0"/>
    <x v="1"/>
    <n v="26"/>
    <x v="2"/>
    <n v="1"/>
    <n v="300"/>
    <n v="300"/>
    <n v="4.5"/>
    <n v="6"/>
  </r>
  <r>
    <n v="910"/>
    <n v="6"/>
    <n v="3"/>
    <n v="2023"/>
    <s v="Mon"/>
    <s v="Mar"/>
    <d v="2023-03-06T00:00:00"/>
    <s v="CUST910"/>
    <x v="1"/>
    <x v="1"/>
    <n v="20"/>
    <x v="0"/>
    <n v="3"/>
    <n v="50"/>
    <n v="150"/>
    <n v="2.25"/>
    <n v="3"/>
  </r>
  <r>
    <n v="911"/>
    <n v="21"/>
    <n v="5"/>
    <n v="2023"/>
    <s v="Sun"/>
    <s v="May"/>
    <d v="2023-05-21T00:00:00"/>
    <s v="CUST911"/>
    <x v="0"/>
    <x v="0"/>
    <n v="42"/>
    <x v="2"/>
    <n v="3"/>
    <n v="300"/>
    <n v="900"/>
    <n v="13.5"/>
    <n v="18"/>
  </r>
  <r>
    <n v="912"/>
    <n v="24"/>
    <n v="1"/>
    <n v="2023"/>
    <s v="Tue"/>
    <s v="Jan"/>
    <d v="2023-01-24T00:00:00"/>
    <s v="CUST912"/>
    <x v="0"/>
    <x v="2"/>
    <n v="51"/>
    <x v="0"/>
    <n v="3"/>
    <n v="50"/>
    <n v="150"/>
    <n v="2.25"/>
    <n v="3"/>
  </r>
  <r>
    <n v="913"/>
    <n v="28"/>
    <n v="1"/>
    <n v="2023"/>
    <s v="Sat"/>
    <s v="Jan"/>
    <d v="2023-01-28T00:00:00"/>
    <s v="CUST913"/>
    <x v="0"/>
    <x v="1"/>
    <n v="29"/>
    <x v="2"/>
    <n v="3"/>
    <n v="30"/>
    <n v="90"/>
    <n v="1.3499999999999999"/>
    <n v="1.8"/>
  </r>
  <r>
    <n v="914"/>
    <n v="11"/>
    <n v="10"/>
    <n v="2023"/>
    <s v="Wed"/>
    <s v="Oct"/>
    <d v="2023-10-11T00:00:00"/>
    <s v="CUST914"/>
    <x v="1"/>
    <x v="2"/>
    <n v="59"/>
    <x v="2"/>
    <n v="1"/>
    <n v="500"/>
    <n v="500"/>
    <n v="7.5"/>
    <n v="10"/>
  </r>
  <r>
    <n v="915"/>
    <n v="30"/>
    <n v="5"/>
    <n v="2023"/>
    <s v="Tue"/>
    <s v="May"/>
    <d v="2023-05-30T00:00:00"/>
    <s v="CUST915"/>
    <x v="1"/>
    <x v="1"/>
    <n v="26"/>
    <x v="0"/>
    <n v="3"/>
    <n v="30"/>
    <n v="90"/>
    <n v="1.3499999999999999"/>
    <n v="1.8"/>
  </r>
  <r>
    <n v="916"/>
    <n v="24"/>
    <n v="12"/>
    <n v="2023"/>
    <s v="Sun"/>
    <s v="Dec"/>
    <d v="2023-12-24T00:00:00"/>
    <s v="CUST916"/>
    <x v="1"/>
    <x v="0"/>
    <n v="32"/>
    <x v="2"/>
    <n v="1"/>
    <n v="50"/>
    <n v="50"/>
    <n v="0.75"/>
    <n v="1"/>
  </r>
  <r>
    <n v="917"/>
    <n v="6"/>
    <n v="3"/>
    <n v="2023"/>
    <s v="Mon"/>
    <s v="Mar"/>
    <d v="2023-03-06T00:00:00"/>
    <s v="CUST917"/>
    <x v="1"/>
    <x v="2"/>
    <n v="57"/>
    <x v="2"/>
    <n v="4"/>
    <n v="50"/>
    <n v="200"/>
    <n v="3"/>
    <n v="4"/>
  </r>
  <r>
    <n v="918"/>
    <n v="23"/>
    <n v="11"/>
    <n v="2023"/>
    <s v="Thu"/>
    <s v="Nov"/>
    <d v="2023-11-23T00:00:00"/>
    <s v="CUST918"/>
    <x v="1"/>
    <x v="0"/>
    <n v="42"/>
    <x v="2"/>
    <n v="3"/>
    <n v="30"/>
    <n v="90"/>
    <n v="1.3499999999999999"/>
    <n v="1.8"/>
  </r>
  <r>
    <n v="919"/>
    <n v="9"/>
    <n v="9"/>
    <n v="2023"/>
    <s v="Sat"/>
    <s v="Sep"/>
    <d v="2023-09-09T00:00:00"/>
    <s v="CUST919"/>
    <x v="1"/>
    <x v="1"/>
    <n v="22"/>
    <x v="0"/>
    <n v="2"/>
    <n v="25"/>
    <n v="50"/>
    <n v="0.75"/>
    <n v="1"/>
  </r>
  <r>
    <n v="920"/>
    <n v="22"/>
    <n v="2"/>
    <n v="2023"/>
    <s v="Wed"/>
    <s v="Feb"/>
    <d v="2023-02-22T00:00:00"/>
    <s v="CUST920"/>
    <x v="1"/>
    <x v="1"/>
    <n v="28"/>
    <x v="0"/>
    <n v="3"/>
    <n v="25"/>
    <n v="75"/>
    <n v="1.125"/>
    <n v="1.5"/>
  </r>
  <r>
    <n v="921"/>
    <n v="7"/>
    <n v="1"/>
    <n v="2023"/>
    <s v="Sat"/>
    <s v="Jan"/>
    <d v="2023-01-07T00:00:00"/>
    <s v="CUST921"/>
    <x v="0"/>
    <x v="2"/>
    <n v="51"/>
    <x v="2"/>
    <n v="3"/>
    <n v="25"/>
    <n v="75"/>
    <n v="1.125"/>
    <n v="1.5"/>
  </r>
  <r>
    <n v="922"/>
    <n v="21"/>
    <n v="10"/>
    <n v="2023"/>
    <s v="Sat"/>
    <s v="Oct"/>
    <d v="2023-10-21T00:00:00"/>
    <s v="CUST922"/>
    <x v="0"/>
    <x v="0"/>
    <n v="41"/>
    <x v="2"/>
    <n v="1"/>
    <n v="50"/>
    <n v="50"/>
    <n v="0.75"/>
    <n v="1"/>
  </r>
  <r>
    <n v="923"/>
    <n v="26"/>
    <n v="5"/>
    <n v="2023"/>
    <s v="Fri"/>
    <s v="May"/>
    <d v="2023-05-26T00:00:00"/>
    <s v="CUST923"/>
    <x v="0"/>
    <x v="0"/>
    <n v="32"/>
    <x v="0"/>
    <n v="3"/>
    <n v="300"/>
    <n v="900"/>
    <n v="13.5"/>
    <n v="18"/>
  </r>
  <r>
    <n v="924"/>
    <n v="29"/>
    <n v="8"/>
    <n v="2023"/>
    <s v="Tue"/>
    <s v="Aug"/>
    <d v="2023-08-29T00:00:00"/>
    <s v="CUST924"/>
    <x v="0"/>
    <x v="2"/>
    <n v="55"/>
    <x v="0"/>
    <n v="2"/>
    <n v="50"/>
    <n v="100"/>
    <n v="1.5"/>
    <n v="2"/>
  </r>
  <r>
    <n v="925"/>
    <n v="3"/>
    <n v="9"/>
    <n v="2023"/>
    <s v="Sun"/>
    <s v="Sep"/>
    <d v="2023-09-03T00:00:00"/>
    <s v="CUST925"/>
    <x v="0"/>
    <x v="1"/>
    <n v="25"/>
    <x v="2"/>
    <n v="1"/>
    <n v="300"/>
    <n v="300"/>
    <n v="4.5"/>
    <n v="6"/>
  </r>
  <r>
    <n v="926"/>
    <n v="14"/>
    <n v="8"/>
    <n v="2023"/>
    <s v="Mon"/>
    <s v="Aug"/>
    <d v="2023-08-14T00:00:00"/>
    <s v="CUST926"/>
    <x v="0"/>
    <x v="1"/>
    <n v="22"/>
    <x v="2"/>
    <n v="1"/>
    <n v="30"/>
    <n v="30"/>
    <n v="0.44999999999999996"/>
    <n v="0.6"/>
  </r>
  <r>
    <n v="927"/>
    <n v="24"/>
    <n v="6"/>
    <n v="2023"/>
    <s v="Sat"/>
    <s v="Jun"/>
    <d v="2023-06-24T00:00:00"/>
    <s v="CUST927"/>
    <x v="0"/>
    <x v="0"/>
    <n v="43"/>
    <x v="2"/>
    <n v="4"/>
    <n v="500"/>
    <n v="2000"/>
    <n v="30"/>
    <n v="40"/>
  </r>
  <r>
    <n v="928"/>
    <n v="5"/>
    <n v="4"/>
    <n v="2023"/>
    <s v="Wed"/>
    <s v="Apr"/>
    <d v="2023-04-05T00:00:00"/>
    <s v="CUST928"/>
    <x v="1"/>
    <x v="0"/>
    <n v="35"/>
    <x v="1"/>
    <n v="4"/>
    <n v="300"/>
    <n v="1200"/>
    <n v="18"/>
    <n v="24"/>
  </r>
  <r>
    <n v="929"/>
    <n v="27"/>
    <n v="1"/>
    <n v="2023"/>
    <s v="Fri"/>
    <s v="Jan"/>
    <d v="2023-01-27T00:00:00"/>
    <s v="CUST929"/>
    <x v="1"/>
    <x v="1"/>
    <n v="23"/>
    <x v="0"/>
    <n v="3"/>
    <n v="25"/>
    <n v="75"/>
    <n v="1.125"/>
    <n v="1.5"/>
  </r>
  <r>
    <n v="930"/>
    <n v="10"/>
    <n v="5"/>
    <n v="2023"/>
    <s v="Wed"/>
    <s v="May"/>
    <d v="2023-05-10T00:00:00"/>
    <s v="CUST930"/>
    <x v="0"/>
    <x v="2"/>
    <n v="54"/>
    <x v="1"/>
    <n v="4"/>
    <n v="50"/>
    <n v="200"/>
    <n v="3"/>
    <n v="4"/>
  </r>
  <r>
    <n v="931"/>
    <n v="2"/>
    <n v="9"/>
    <n v="2023"/>
    <s v="Sat"/>
    <s v="Sep"/>
    <d v="2023-09-02T00:00:00"/>
    <s v="CUST931"/>
    <x v="0"/>
    <x v="0"/>
    <n v="30"/>
    <x v="0"/>
    <n v="4"/>
    <n v="30"/>
    <n v="120"/>
    <n v="1.7999999999999998"/>
    <n v="2.4"/>
  </r>
  <r>
    <n v="932"/>
    <n v="28"/>
    <n v="2"/>
    <n v="2023"/>
    <s v="Tue"/>
    <s v="Feb"/>
    <d v="2023-02-28T00:00:00"/>
    <s v="CUST932"/>
    <x v="1"/>
    <x v="0"/>
    <n v="45"/>
    <x v="0"/>
    <n v="4"/>
    <n v="25"/>
    <n v="100"/>
    <n v="1.5"/>
    <n v="2"/>
  </r>
  <r>
    <n v="933"/>
    <n v="3"/>
    <n v="2"/>
    <n v="2023"/>
    <s v="Fri"/>
    <s v="Feb"/>
    <d v="2023-02-03T00:00:00"/>
    <s v="CUST933"/>
    <x v="0"/>
    <x v="1"/>
    <n v="22"/>
    <x v="0"/>
    <n v="1"/>
    <n v="30"/>
    <n v="30"/>
    <n v="0.44999999999999996"/>
    <n v="0.6"/>
  </r>
  <r>
    <n v="934"/>
    <n v="25"/>
    <n v="7"/>
    <n v="2023"/>
    <s v="Tue"/>
    <s v="Jul"/>
    <d v="2023-07-25T00:00:00"/>
    <s v="CUST934"/>
    <x v="0"/>
    <x v="0"/>
    <n v="30"/>
    <x v="0"/>
    <n v="1"/>
    <n v="500"/>
    <n v="500"/>
    <n v="7.5"/>
    <n v="10"/>
  </r>
  <r>
    <n v="935"/>
    <n v="9"/>
    <n v="9"/>
    <n v="2023"/>
    <s v="Sat"/>
    <s v="Sep"/>
    <d v="2023-09-09T00:00:00"/>
    <s v="CUST935"/>
    <x v="1"/>
    <x v="0"/>
    <n v="34"/>
    <x v="0"/>
    <n v="1"/>
    <n v="50"/>
    <n v="50"/>
    <n v="0.75"/>
    <n v="1"/>
  </r>
  <r>
    <n v="936"/>
    <n v="7"/>
    <n v="2"/>
    <n v="2023"/>
    <s v="Tue"/>
    <s v="Feb"/>
    <d v="2023-02-07T00:00:00"/>
    <s v="CUST936"/>
    <x v="0"/>
    <x v="2"/>
    <n v="57"/>
    <x v="0"/>
    <n v="4"/>
    <n v="50"/>
    <n v="200"/>
    <n v="3"/>
    <n v="4"/>
  </r>
  <r>
    <n v="937"/>
    <n v="23"/>
    <n v="10"/>
    <n v="2023"/>
    <s v="Mon"/>
    <s v="Oct"/>
    <d v="2023-10-23T00:00:00"/>
    <s v="CUST937"/>
    <x v="1"/>
    <x v="2"/>
    <n v="62"/>
    <x v="0"/>
    <n v="1"/>
    <n v="500"/>
    <n v="500"/>
    <n v="7.5"/>
    <n v="10"/>
  </r>
  <r>
    <n v="938"/>
    <n v="19"/>
    <n v="11"/>
    <n v="2023"/>
    <s v="Sun"/>
    <s v="Nov"/>
    <d v="2023-11-19T00:00:00"/>
    <s v="CUST938"/>
    <x v="0"/>
    <x v="0"/>
    <n v="49"/>
    <x v="1"/>
    <n v="4"/>
    <n v="50"/>
    <n v="200"/>
    <n v="3"/>
    <n v="4"/>
  </r>
  <r>
    <n v="939"/>
    <n v="18"/>
    <n v="12"/>
    <n v="2023"/>
    <s v="Mon"/>
    <s v="Dec"/>
    <d v="2023-12-18T00:00:00"/>
    <s v="CUST939"/>
    <x v="1"/>
    <x v="0"/>
    <n v="46"/>
    <x v="2"/>
    <n v="1"/>
    <n v="300"/>
    <n v="300"/>
    <n v="4.5"/>
    <n v="6"/>
  </r>
  <r>
    <n v="940"/>
    <n v="28"/>
    <n v="1"/>
    <n v="2023"/>
    <s v="Sat"/>
    <s v="Jan"/>
    <d v="2023-01-28T00:00:00"/>
    <s v="CUST940"/>
    <x v="1"/>
    <x v="1"/>
    <n v="20"/>
    <x v="2"/>
    <n v="1"/>
    <n v="30"/>
    <n v="30"/>
    <n v="0.44999999999999996"/>
    <n v="0.6"/>
  </r>
  <r>
    <n v="941"/>
    <n v="19"/>
    <n v="3"/>
    <n v="2023"/>
    <s v="Sun"/>
    <s v="Mar"/>
    <d v="2023-03-19T00:00:00"/>
    <s v="CUST941"/>
    <x v="1"/>
    <x v="2"/>
    <n v="57"/>
    <x v="1"/>
    <n v="2"/>
    <n v="25"/>
    <n v="50"/>
    <n v="0.75"/>
    <n v="1"/>
  </r>
  <r>
    <n v="942"/>
    <n v="18"/>
    <n v="3"/>
    <n v="2023"/>
    <s v="Sat"/>
    <s v="Mar"/>
    <d v="2023-03-18T00:00:00"/>
    <s v="CUST942"/>
    <x v="0"/>
    <x v="2"/>
    <n v="51"/>
    <x v="1"/>
    <n v="3"/>
    <n v="500"/>
    <n v="1500"/>
    <n v="22.5"/>
    <n v="30"/>
  </r>
  <r>
    <n v="943"/>
    <n v="16"/>
    <n v="10"/>
    <n v="2023"/>
    <s v="Mon"/>
    <s v="Oct"/>
    <d v="2023-10-16T00:00:00"/>
    <s v="CUST943"/>
    <x v="1"/>
    <x v="2"/>
    <n v="57"/>
    <x v="1"/>
    <n v="4"/>
    <n v="300"/>
    <n v="1200"/>
    <n v="18"/>
    <n v="24"/>
  </r>
  <r>
    <n v="944"/>
    <n v="5"/>
    <n v="6"/>
    <n v="2023"/>
    <s v="Mon"/>
    <s v="Jun"/>
    <d v="2023-06-05T00:00:00"/>
    <s v="CUST944"/>
    <x v="0"/>
    <x v="0"/>
    <n v="44"/>
    <x v="1"/>
    <n v="2"/>
    <n v="25"/>
    <n v="50"/>
    <n v="0.75"/>
    <n v="1"/>
  </r>
  <r>
    <n v="945"/>
    <n v="13"/>
    <n v="2"/>
    <n v="2023"/>
    <s v="Mon"/>
    <s v="Feb"/>
    <d v="2023-02-13T00:00:00"/>
    <s v="CUST945"/>
    <x v="0"/>
    <x v="0"/>
    <n v="30"/>
    <x v="0"/>
    <n v="1"/>
    <n v="25"/>
    <n v="25"/>
    <n v="0.375"/>
    <n v="0.5"/>
  </r>
  <r>
    <n v="946"/>
    <n v="8"/>
    <n v="5"/>
    <n v="2023"/>
    <s v="Mon"/>
    <s v="May"/>
    <d v="2023-05-08T00:00:00"/>
    <s v="CUST946"/>
    <x v="0"/>
    <x v="2"/>
    <n v="62"/>
    <x v="2"/>
    <n v="4"/>
    <n v="500"/>
    <n v="2000"/>
    <n v="30"/>
    <n v="40"/>
  </r>
  <r>
    <n v="947"/>
    <n v="2"/>
    <n v="3"/>
    <n v="2023"/>
    <s v="Thu"/>
    <s v="Mar"/>
    <d v="2023-03-02T00:00:00"/>
    <s v="CUST947"/>
    <x v="0"/>
    <x v="2"/>
    <n v="50"/>
    <x v="0"/>
    <n v="1"/>
    <n v="300"/>
    <n v="300"/>
    <n v="4.5"/>
    <n v="6"/>
  </r>
  <r>
    <n v="948"/>
    <n v="13"/>
    <n v="10"/>
    <n v="2023"/>
    <s v="Fri"/>
    <s v="Oct"/>
    <d v="2023-10-13T00:00:00"/>
    <s v="CUST948"/>
    <x v="1"/>
    <x v="1"/>
    <n v="23"/>
    <x v="2"/>
    <n v="3"/>
    <n v="25"/>
    <n v="75"/>
    <n v="1.125"/>
    <n v="1.5"/>
  </r>
  <r>
    <n v="949"/>
    <n v="2"/>
    <n v="8"/>
    <n v="2023"/>
    <s v="Wed"/>
    <s v="Aug"/>
    <d v="2023-08-02T00:00:00"/>
    <s v="CUST949"/>
    <x v="1"/>
    <x v="0"/>
    <n v="41"/>
    <x v="2"/>
    <n v="2"/>
    <n v="25"/>
    <n v="50"/>
    <n v="0.75"/>
    <n v="1"/>
  </r>
  <r>
    <n v="950"/>
    <n v="7"/>
    <n v="11"/>
    <n v="2023"/>
    <s v="Tue"/>
    <s v="Nov"/>
    <d v="2023-11-07T00:00:00"/>
    <s v="CUST950"/>
    <x v="0"/>
    <x v="0"/>
    <n v="36"/>
    <x v="1"/>
    <n v="3"/>
    <n v="300"/>
    <n v="900"/>
    <n v="13.5"/>
    <n v="18"/>
  </r>
  <r>
    <n v="951"/>
    <n v="2"/>
    <n v="11"/>
    <n v="2023"/>
    <s v="Thu"/>
    <s v="Nov"/>
    <d v="2023-11-02T00:00:00"/>
    <s v="CUST951"/>
    <x v="0"/>
    <x v="0"/>
    <n v="33"/>
    <x v="0"/>
    <n v="2"/>
    <n v="50"/>
    <n v="100"/>
    <n v="1.5"/>
    <n v="2"/>
  </r>
  <r>
    <n v="952"/>
    <n v="13"/>
    <n v="11"/>
    <n v="2023"/>
    <s v="Mon"/>
    <s v="Nov"/>
    <d v="2023-11-13T00:00:00"/>
    <s v="CUST952"/>
    <x v="1"/>
    <x v="2"/>
    <n v="57"/>
    <x v="1"/>
    <n v="1"/>
    <n v="25"/>
    <n v="25"/>
    <n v="0.375"/>
    <n v="0.5"/>
  </r>
  <r>
    <n v="953"/>
    <n v="26"/>
    <n v="4"/>
    <n v="2023"/>
    <s v="Wed"/>
    <s v="Apr"/>
    <d v="2023-04-26T00:00:00"/>
    <s v="CUST953"/>
    <x v="0"/>
    <x v="0"/>
    <n v="45"/>
    <x v="0"/>
    <n v="3"/>
    <n v="30"/>
    <n v="90"/>
    <n v="1.3499999999999999"/>
    <n v="1.8"/>
  </r>
  <r>
    <n v="954"/>
    <n v="25"/>
    <n v="9"/>
    <n v="2023"/>
    <s v="Mon"/>
    <s v="Sep"/>
    <d v="2023-09-25T00:00:00"/>
    <s v="CUST954"/>
    <x v="1"/>
    <x v="2"/>
    <n v="50"/>
    <x v="2"/>
    <n v="3"/>
    <n v="300"/>
    <n v="900"/>
    <n v="13.5"/>
    <n v="18"/>
  </r>
  <r>
    <n v="955"/>
    <n v="14"/>
    <n v="7"/>
    <n v="2023"/>
    <s v="Fri"/>
    <s v="Jul"/>
    <d v="2023-07-14T00:00:00"/>
    <s v="CUST955"/>
    <x v="0"/>
    <x v="2"/>
    <n v="58"/>
    <x v="1"/>
    <n v="1"/>
    <n v="25"/>
    <n v="25"/>
    <n v="0.375"/>
    <n v="0.5"/>
  </r>
  <r>
    <n v="956"/>
    <n v="19"/>
    <n v="8"/>
    <n v="2023"/>
    <s v="Sat"/>
    <s v="Aug"/>
    <d v="2023-08-19T00:00:00"/>
    <s v="CUST956"/>
    <x v="0"/>
    <x v="0"/>
    <n v="30"/>
    <x v="1"/>
    <n v="3"/>
    <n v="500"/>
    <n v="1500"/>
    <n v="22.5"/>
    <n v="30"/>
  </r>
  <r>
    <n v="957"/>
    <n v="15"/>
    <n v="8"/>
    <n v="2023"/>
    <s v="Tue"/>
    <s v="Aug"/>
    <d v="2023-08-15T00:00:00"/>
    <s v="CUST957"/>
    <x v="1"/>
    <x v="2"/>
    <n v="60"/>
    <x v="2"/>
    <n v="4"/>
    <n v="30"/>
    <n v="120"/>
    <n v="1.7999999999999998"/>
    <n v="2.4"/>
  </r>
  <r>
    <n v="958"/>
    <n v="2"/>
    <n v="6"/>
    <n v="2023"/>
    <s v="Fri"/>
    <s v="Jun"/>
    <d v="2023-06-02T00:00:00"/>
    <s v="CUST958"/>
    <x v="0"/>
    <x v="2"/>
    <n v="62"/>
    <x v="2"/>
    <n v="2"/>
    <n v="25"/>
    <n v="50"/>
    <n v="0.75"/>
    <n v="1"/>
  </r>
  <r>
    <n v="959"/>
    <n v="29"/>
    <n v="10"/>
    <n v="2023"/>
    <s v="Sun"/>
    <s v="Oct"/>
    <d v="2023-10-29T00:00:00"/>
    <s v="CUST959"/>
    <x v="1"/>
    <x v="0"/>
    <n v="42"/>
    <x v="2"/>
    <n v="2"/>
    <n v="30"/>
    <n v="60"/>
    <n v="0.89999999999999991"/>
    <n v="1.2"/>
  </r>
  <r>
    <n v="960"/>
    <n v="8"/>
    <n v="8"/>
    <n v="2023"/>
    <s v="Tue"/>
    <s v="Aug"/>
    <d v="2023-08-08T00:00:00"/>
    <s v="CUST960"/>
    <x v="0"/>
    <x v="2"/>
    <n v="59"/>
    <x v="1"/>
    <n v="2"/>
    <n v="30"/>
    <n v="60"/>
    <n v="0.89999999999999991"/>
    <n v="1.2"/>
  </r>
  <r>
    <n v="961"/>
    <n v="6"/>
    <n v="6"/>
    <n v="2023"/>
    <s v="Tue"/>
    <s v="Jun"/>
    <d v="2023-06-06T00:00:00"/>
    <s v="CUST961"/>
    <x v="0"/>
    <x v="2"/>
    <n v="53"/>
    <x v="0"/>
    <n v="4"/>
    <n v="50"/>
    <n v="200"/>
    <n v="3"/>
    <n v="4"/>
  </r>
  <r>
    <n v="962"/>
    <n v="19"/>
    <n v="10"/>
    <n v="2023"/>
    <s v="Thu"/>
    <s v="Oct"/>
    <d v="2023-10-19T00:00:00"/>
    <s v="CUST962"/>
    <x v="0"/>
    <x v="0"/>
    <n v="44"/>
    <x v="1"/>
    <n v="2"/>
    <n v="30"/>
    <n v="60"/>
    <n v="0.89999999999999991"/>
    <n v="1.2"/>
  </r>
  <r>
    <n v="963"/>
    <n v="14"/>
    <n v="11"/>
    <n v="2023"/>
    <s v="Tue"/>
    <s v="Nov"/>
    <d v="2023-11-14T00:00:00"/>
    <s v="CUST963"/>
    <x v="1"/>
    <x v="2"/>
    <n v="55"/>
    <x v="0"/>
    <n v="1"/>
    <n v="50"/>
    <n v="50"/>
    <n v="0.75"/>
    <n v="1"/>
  </r>
  <r>
    <n v="964"/>
    <n v="31"/>
    <n v="1"/>
    <n v="2023"/>
    <s v="Tue"/>
    <s v="Jan"/>
    <d v="2023-01-31T00:00:00"/>
    <s v="CUST964"/>
    <x v="0"/>
    <x v="1"/>
    <n v="24"/>
    <x v="1"/>
    <n v="3"/>
    <n v="300"/>
    <n v="900"/>
    <n v="13.5"/>
    <n v="18"/>
  </r>
  <r>
    <n v="965"/>
    <n v="9"/>
    <n v="11"/>
    <n v="2023"/>
    <s v="Thu"/>
    <s v="Nov"/>
    <d v="2023-11-09T00:00:00"/>
    <s v="CUST965"/>
    <x v="0"/>
    <x v="1"/>
    <n v="22"/>
    <x v="1"/>
    <n v="4"/>
    <n v="50"/>
    <n v="200"/>
    <n v="3"/>
    <n v="4"/>
  </r>
  <r>
    <n v="966"/>
    <n v="20"/>
    <n v="2"/>
    <n v="2023"/>
    <s v="Mon"/>
    <s v="Feb"/>
    <d v="2023-02-20T00:00:00"/>
    <s v="CUST966"/>
    <x v="0"/>
    <x v="2"/>
    <n v="60"/>
    <x v="2"/>
    <n v="2"/>
    <n v="500"/>
    <n v="1000"/>
    <n v="15"/>
    <n v="20"/>
  </r>
  <r>
    <n v="967"/>
    <n v="17"/>
    <n v="4"/>
    <n v="2023"/>
    <s v="Mon"/>
    <s v="Apr"/>
    <d v="2023-04-17T00:00:00"/>
    <s v="CUST967"/>
    <x v="0"/>
    <x v="2"/>
    <n v="62"/>
    <x v="0"/>
    <n v="1"/>
    <n v="25"/>
    <n v="25"/>
    <n v="0.375"/>
    <n v="0.5"/>
  </r>
  <r>
    <n v="968"/>
    <n v="17"/>
    <n v="11"/>
    <n v="2023"/>
    <s v="Fri"/>
    <s v="Nov"/>
    <d v="2023-11-17T00:00:00"/>
    <s v="CUST968"/>
    <x v="1"/>
    <x v="0"/>
    <n v="48"/>
    <x v="1"/>
    <n v="3"/>
    <n v="300"/>
    <n v="900"/>
    <n v="13.5"/>
    <n v="18"/>
  </r>
  <r>
    <n v="969"/>
    <n v="19"/>
    <n v="4"/>
    <n v="2023"/>
    <s v="Wed"/>
    <s v="Apr"/>
    <d v="2023-04-19T00:00:00"/>
    <s v="CUST969"/>
    <x v="1"/>
    <x v="0"/>
    <n v="40"/>
    <x v="1"/>
    <n v="3"/>
    <n v="300"/>
    <n v="900"/>
    <n v="13.5"/>
    <n v="18"/>
  </r>
  <r>
    <n v="970"/>
    <n v="16"/>
    <n v="5"/>
    <n v="2023"/>
    <s v="Tue"/>
    <s v="May"/>
    <d v="2023-05-16T00:00:00"/>
    <s v="CUST970"/>
    <x v="0"/>
    <x v="2"/>
    <n v="59"/>
    <x v="2"/>
    <n v="4"/>
    <n v="500"/>
    <n v="2000"/>
    <n v="30"/>
    <n v="40"/>
  </r>
  <r>
    <n v="971"/>
    <n v="5"/>
    <n v="12"/>
    <n v="2023"/>
    <s v="Tue"/>
    <s v="Dec"/>
    <d v="2023-12-05T00:00:00"/>
    <s v="CUST971"/>
    <x v="1"/>
    <x v="1"/>
    <n v="27"/>
    <x v="2"/>
    <n v="4"/>
    <n v="50"/>
    <n v="200"/>
    <n v="3"/>
    <n v="4"/>
  </r>
  <r>
    <n v="972"/>
    <n v="11"/>
    <n v="2"/>
    <n v="2023"/>
    <s v="Sat"/>
    <s v="Feb"/>
    <d v="2023-02-11T00:00:00"/>
    <s v="CUST972"/>
    <x v="0"/>
    <x v="0"/>
    <n v="49"/>
    <x v="0"/>
    <n v="4"/>
    <n v="25"/>
    <n v="100"/>
    <n v="1.5"/>
    <n v="2"/>
  </r>
  <r>
    <n v="973"/>
    <n v="22"/>
    <n v="3"/>
    <n v="2023"/>
    <s v="Wed"/>
    <s v="Mar"/>
    <d v="2023-03-22T00:00:00"/>
    <s v="CUST973"/>
    <x v="0"/>
    <x v="2"/>
    <n v="60"/>
    <x v="1"/>
    <n v="1"/>
    <n v="50"/>
    <n v="50"/>
    <n v="0.75"/>
    <n v="1"/>
  </r>
  <r>
    <n v="974"/>
    <n v="3"/>
    <n v="5"/>
    <n v="2023"/>
    <s v="Wed"/>
    <s v="May"/>
    <d v="2023-05-03T00:00:00"/>
    <s v="CUST974"/>
    <x v="0"/>
    <x v="0"/>
    <n v="47"/>
    <x v="0"/>
    <n v="1"/>
    <n v="30"/>
    <n v="30"/>
    <n v="0.44999999999999996"/>
    <n v="0.6"/>
  </r>
  <r>
    <n v="975"/>
    <n v="30"/>
    <n v="3"/>
    <n v="2023"/>
    <s v="Thu"/>
    <s v="Mar"/>
    <d v="2023-03-30T00:00:00"/>
    <s v="CUST975"/>
    <x v="1"/>
    <x v="2"/>
    <n v="56"/>
    <x v="1"/>
    <n v="4"/>
    <n v="50"/>
    <n v="200"/>
    <n v="3"/>
    <n v="4"/>
  </r>
  <r>
    <n v="976"/>
    <n v="10"/>
    <n v="10"/>
    <n v="2023"/>
    <s v="Tue"/>
    <s v="Oct"/>
    <d v="2023-10-10T00:00:00"/>
    <s v="CUST976"/>
    <x v="1"/>
    <x v="0"/>
    <n v="48"/>
    <x v="0"/>
    <n v="2"/>
    <n v="300"/>
    <n v="600"/>
    <n v="9"/>
    <n v="12"/>
  </r>
  <r>
    <n v="977"/>
    <n v="8"/>
    <n v="2"/>
    <n v="2023"/>
    <s v="Wed"/>
    <s v="Feb"/>
    <d v="2023-02-08T00:00:00"/>
    <s v="CUST977"/>
    <x v="1"/>
    <x v="0"/>
    <n v="35"/>
    <x v="2"/>
    <n v="3"/>
    <n v="25"/>
    <n v="75"/>
    <n v="1.125"/>
    <n v="1.5"/>
  </r>
  <r>
    <n v="978"/>
    <n v="22"/>
    <n v="3"/>
    <n v="2023"/>
    <s v="Wed"/>
    <s v="Mar"/>
    <d v="2023-03-22T00:00:00"/>
    <s v="CUST978"/>
    <x v="1"/>
    <x v="2"/>
    <n v="53"/>
    <x v="1"/>
    <n v="3"/>
    <n v="50"/>
    <n v="150"/>
    <n v="2.25"/>
    <n v="3"/>
  </r>
  <r>
    <n v="979"/>
    <n v="2"/>
    <n v="1"/>
    <n v="2023"/>
    <s v="Mon"/>
    <s v="Jan"/>
    <d v="2023-01-02T00:00:00"/>
    <s v="CUST979"/>
    <x v="1"/>
    <x v="1"/>
    <n v="19"/>
    <x v="0"/>
    <n v="1"/>
    <n v="25"/>
    <n v="25"/>
    <n v="0.375"/>
    <n v="0.5"/>
  </r>
  <r>
    <n v="980"/>
    <n v="29"/>
    <n v="7"/>
    <n v="2023"/>
    <s v="Sat"/>
    <s v="Jul"/>
    <d v="2023-07-29T00:00:00"/>
    <s v="CUST980"/>
    <x v="1"/>
    <x v="0"/>
    <n v="31"/>
    <x v="2"/>
    <n v="3"/>
    <n v="25"/>
    <n v="75"/>
    <n v="1.125"/>
    <n v="1.5"/>
  </r>
  <r>
    <n v="981"/>
    <n v="19"/>
    <n v="8"/>
    <n v="2023"/>
    <s v="Sat"/>
    <s v="Aug"/>
    <d v="2023-08-19T00:00:00"/>
    <s v="CUST981"/>
    <x v="1"/>
    <x v="0"/>
    <n v="30"/>
    <x v="2"/>
    <n v="2"/>
    <n v="30"/>
    <n v="60"/>
    <n v="0.89999999999999991"/>
    <n v="1.2"/>
  </r>
  <r>
    <n v="982"/>
    <n v="19"/>
    <n v="12"/>
    <n v="2023"/>
    <s v="Tue"/>
    <s v="Dec"/>
    <d v="2023-12-19T00:00:00"/>
    <s v="CUST982"/>
    <x v="1"/>
    <x v="0"/>
    <n v="46"/>
    <x v="0"/>
    <n v="3"/>
    <n v="30"/>
    <n v="90"/>
    <n v="1.3499999999999999"/>
    <n v="1.8"/>
  </r>
  <r>
    <n v="983"/>
    <n v="1"/>
    <n v="11"/>
    <n v="2023"/>
    <s v="Wed"/>
    <s v="Nov"/>
    <d v="2023-11-01T00:00:00"/>
    <s v="CUST983"/>
    <x v="1"/>
    <x v="1"/>
    <n v="29"/>
    <x v="1"/>
    <n v="1"/>
    <n v="300"/>
    <n v="300"/>
    <n v="4.5"/>
    <n v="6"/>
  </r>
  <r>
    <n v="984"/>
    <n v="29"/>
    <n v="8"/>
    <n v="2023"/>
    <s v="Tue"/>
    <s v="Aug"/>
    <d v="2023-08-29T00:00:00"/>
    <s v="CUST984"/>
    <x v="0"/>
    <x v="2"/>
    <n v="56"/>
    <x v="1"/>
    <n v="1"/>
    <n v="500"/>
    <n v="500"/>
    <n v="7.5"/>
    <n v="10"/>
  </r>
  <r>
    <n v="985"/>
    <n v="30"/>
    <n v="5"/>
    <n v="2023"/>
    <s v="Tue"/>
    <s v="May"/>
    <d v="2023-05-30T00:00:00"/>
    <s v="CUST985"/>
    <x v="1"/>
    <x v="1"/>
    <n v="19"/>
    <x v="2"/>
    <n v="2"/>
    <n v="25"/>
    <n v="50"/>
    <n v="0.75"/>
    <n v="1"/>
  </r>
  <r>
    <n v="986"/>
    <n v="17"/>
    <n v="1"/>
    <n v="2023"/>
    <s v="Tue"/>
    <s v="Jan"/>
    <d v="2023-01-17T00:00:00"/>
    <s v="CUST986"/>
    <x v="1"/>
    <x v="0"/>
    <n v="49"/>
    <x v="1"/>
    <n v="2"/>
    <n v="500"/>
    <n v="1000"/>
    <n v="15"/>
    <n v="20"/>
  </r>
  <r>
    <n v="987"/>
    <n v="29"/>
    <n v="4"/>
    <n v="2023"/>
    <s v="Sat"/>
    <s v="Apr"/>
    <d v="2023-04-29T00:00:00"/>
    <s v="CUST987"/>
    <x v="1"/>
    <x v="0"/>
    <n v="30"/>
    <x v="1"/>
    <n v="3"/>
    <n v="300"/>
    <n v="900"/>
    <n v="13.5"/>
    <n v="18"/>
  </r>
  <r>
    <n v="988"/>
    <n v="28"/>
    <n v="5"/>
    <n v="2023"/>
    <s v="Sun"/>
    <s v="May"/>
    <d v="2023-05-28T00:00:00"/>
    <s v="CUST988"/>
    <x v="1"/>
    <x v="2"/>
    <n v="63"/>
    <x v="1"/>
    <n v="3"/>
    <n v="25"/>
    <n v="75"/>
    <n v="1.125"/>
    <n v="1.5"/>
  </r>
  <r>
    <n v="989"/>
    <n v="28"/>
    <n v="12"/>
    <n v="2023"/>
    <s v="Thu"/>
    <s v="Dec"/>
    <d v="2023-12-28T00:00:00"/>
    <s v="CUST989"/>
    <x v="1"/>
    <x v="0"/>
    <n v="44"/>
    <x v="2"/>
    <n v="1"/>
    <n v="25"/>
    <n v="25"/>
    <n v="0.375"/>
    <n v="0.5"/>
  </r>
  <r>
    <n v="990"/>
    <n v="25"/>
    <n v="5"/>
    <n v="2023"/>
    <s v="Thu"/>
    <s v="May"/>
    <d v="2023-05-25T00:00:00"/>
    <s v="CUST990"/>
    <x v="1"/>
    <x v="2"/>
    <n v="58"/>
    <x v="0"/>
    <n v="2"/>
    <n v="500"/>
    <n v="1000"/>
    <n v="15"/>
    <n v="20"/>
  </r>
  <r>
    <n v="991"/>
    <n v="26"/>
    <n v="12"/>
    <n v="2023"/>
    <s v="Tue"/>
    <s v="Dec"/>
    <d v="2023-12-26T00:00:00"/>
    <s v="CUST991"/>
    <x v="1"/>
    <x v="0"/>
    <n v="34"/>
    <x v="1"/>
    <n v="2"/>
    <n v="50"/>
    <n v="100"/>
    <n v="1.5"/>
    <n v="2"/>
  </r>
  <r>
    <n v="992"/>
    <n v="21"/>
    <n v="8"/>
    <n v="2023"/>
    <s v="Mon"/>
    <s v="Aug"/>
    <d v="2023-08-21T00:00:00"/>
    <s v="CUST992"/>
    <x v="1"/>
    <x v="2"/>
    <n v="57"/>
    <x v="2"/>
    <n v="2"/>
    <n v="30"/>
    <n v="60"/>
    <n v="0.89999999999999991"/>
    <n v="1.2"/>
  </r>
  <r>
    <n v="993"/>
    <n v="6"/>
    <n v="2"/>
    <n v="2023"/>
    <s v="Mon"/>
    <s v="Feb"/>
    <d v="2023-02-06T00:00:00"/>
    <s v="CUST993"/>
    <x v="1"/>
    <x v="0"/>
    <n v="48"/>
    <x v="2"/>
    <n v="3"/>
    <n v="50"/>
    <n v="150"/>
    <n v="2.25"/>
    <n v="3"/>
  </r>
  <r>
    <n v="994"/>
    <n v="18"/>
    <n v="12"/>
    <n v="2023"/>
    <s v="Mon"/>
    <s v="Dec"/>
    <d v="2023-12-18T00:00:00"/>
    <s v="CUST994"/>
    <x v="1"/>
    <x v="2"/>
    <n v="51"/>
    <x v="0"/>
    <n v="2"/>
    <n v="500"/>
    <n v="1000"/>
    <n v="15"/>
    <n v="20"/>
  </r>
  <r>
    <n v="995"/>
    <n v="30"/>
    <n v="4"/>
    <n v="2023"/>
    <s v="Sun"/>
    <s v="Apr"/>
    <d v="2023-04-30T00:00:00"/>
    <s v="CUST995"/>
    <x v="1"/>
    <x v="0"/>
    <n v="41"/>
    <x v="1"/>
    <n v="1"/>
    <n v="30"/>
    <n v="30"/>
    <n v="0.44999999999999996"/>
    <n v="0.6"/>
  </r>
  <r>
    <n v="996"/>
    <n v="16"/>
    <n v="5"/>
    <n v="2023"/>
    <s v="Tue"/>
    <s v="May"/>
    <d v="2023-05-16T00:00:00"/>
    <s v="CUST996"/>
    <x v="0"/>
    <x v="2"/>
    <n v="62"/>
    <x v="1"/>
    <n v="1"/>
    <n v="50"/>
    <n v="50"/>
    <n v="0.75"/>
    <n v="1"/>
  </r>
  <r>
    <n v="997"/>
    <n v="17"/>
    <n v="11"/>
    <n v="2023"/>
    <s v="Fri"/>
    <s v="Nov"/>
    <d v="2023-11-17T00:00:00"/>
    <s v="CUST997"/>
    <x v="0"/>
    <x v="2"/>
    <n v="52"/>
    <x v="0"/>
    <n v="3"/>
    <n v="30"/>
    <n v="90"/>
    <n v="1.3499999999999999"/>
    <n v="1.8"/>
  </r>
  <r>
    <n v="998"/>
    <n v="29"/>
    <n v="10"/>
    <n v="2023"/>
    <s v="Sun"/>
    <s v="Oct"/>
    <d v="2023-10-29T00:00:00"/>
    <s v="CUST998"/>
    <x v="1"/>
    <x v="1"/>
    <n v="23"/>
    <x v="0"/>
    <n v="4"/>
    <n v="25"/>
    <n v="100"/>
    <n v="1.5"/>
    <n v="2"/>
  </r>
  <r>
    <n v="999"/>
    <n v="5"/>
    <n v="12"/>
    <n v="2023"/>
    <s v="Tue"/>
    <s v="Dec"/>
    <d v="2023-12-05T00:00:00"/>
    <s v="CUST999"/>
    <x v="1"/>
    <x v="0"/>
    <n v="36"/>
    <x v="2"/>
    <n v="3"/>
    <n v="50"/>
    <n v="150"/>
    <n v="2.25"/>
    <n v="3"/>
  </r>
  <r>
    <n v="1000"/>
    <n v="12"/>
    <n v="4"/>
    <n v="2023"/>
    <s v="Wed"/>
    <s v="Apr"/>
    <d v="2023-04-12T00:00:00"/>
    <s v="CUST1000"/>
    <x v="0"/>
    <x v="0"/>
    <n v="47"/>
    <x v="2"/>
    <n v="4"/>
    <n v="30"/>
    <n v="120"/>
    <n v="1.7999999999999998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DEE31-AB81-485E-9864-7D74B6DCB327}" name="PivotTable1" cacheId="16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D8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6" outline="0" showAll="0"/>
    <pivotField compact="0" numFmtId="166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Total Sales" fld="14" showDataAs="percentOfTotal" baseField="0" baseItem="0" numFmtId="10"/>
  </dataFields>
  <formats count="3">
    <format dxfId="2">
      <pivotArea outline="0" fieldPosition="0">
        <references count="1">
          <reference field="11" count="1" selected="0">
            <x v="0"/>
          </reference>
        </references>
      </pivotArea>
    </format>
    <format dxfId="3">
      <pivotArea outline="0" fieldPosition="0">
        <references count="2">
          <reference field="8" count="1" selected="0">
            <x v="0"/>
          </reference>
          <reference field="11" count="1" selected="0">
            <x v="1"/>
          </reference>
        </references>
      </pivotArea>
    </format>
    <format dxfId="4">
      <pivotArea outline="0" collapsedLevelsAreSubtotals="1" fieldPosition="0"/>
    </format>
  </format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3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11" count="1" selected="0">
            <x v="2"/>
          </reference>
        </references>
      </pivotArea>
    </chartFormat>
    <chartFormat chart="3" format="4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</references>
      </pivotArea>
    </chartFormat>
    <chartFormat chart="3" format="5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</references>
      </pivotArea>
    </chartFormat>
    <chartFormat chart="3" format="6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B3135-996C-4E09-BCF4-F3BE33890165}" name="PivotTable2" cacheId="16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8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6" outline="0" showAll="0"/>
    <pivotField compact="0" numFmtId="166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Total Sales" fld="14" showDataAs="percentOfTotal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3D1B741F-ECFF-4CED-A8C0-66D032D71B86}" sourceName="Gender">
  <pivotTables>
    <pivotTable tabId="8" name="PivotTable2"/>
  </pivotTables>
  <data>
    <tabular pivotCacheId="1658437927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25A1B624-91B5-41E5-854C-A48F264B0E6E}" sourceName="Generation">
  <pivotTables>
    <pivotTable tabId="8" name="PivotTable2"/>
  </pivotTables>
  <data>
    <tabular pivotCacheId="1658437927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FFB2C456-050E-49CE-AA03-E205B5838A43}" sourceName="Product Category">
  <pivotTables>
    <pivotTable tabId="8" name="PivotTable2"/>
  </pivotTables>
  <data>
    <tabular pivotCacheId="1658437927">
      <items count="3">
        <i x="0" s="1"/>
        <i x="1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1" xr10:uid="{CD83F6C9-4CD4-4044-AC3C-C5861692DEF2}" sourceName="Gender">
  <pivotTables>
    <pivotTable tabId="4" name="PivotTable1"/>
  </pivotTables>
  <data>
    <tabular pivotCacheId="1658437927">
      <items count="2"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1" xr10:uid="{86303055-045A-4496-B187-E027DB330665}" sourceName="Product Category">
  <pivotTables>
    <pivotTable tabId="4" name="PivotTable1"/>
  </pivotTables>
  <data>
    <tabular pivotCacheId="1658437927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 1" xr10:uid="{78D7701E-9767-4EA1-ACEF-75D1BCBEE517}" cache="Slicer_Gender1" caption="Gender" rowHeight="228600"/>
  <slicer name="Product Category 1" xr10:uid="{021C6BEA-7A83-4680-9B1C-F9D6A755DDCC}" cache="Slicer_Product_Category1" caption="Product Category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3D04EF15-A98B-4F5C-9C93-AD2129B5C6F3}" cache="Slicer_Gender" caption="Gender" rowHeight="228600"/>
  <slicer name="Generation" xr10:uid="{97451B6F-9B2E-46E0-8C3D-69FB8E2DD11D}" cache="Slicer_Generation" caption="Generation" rowHeight="228600"/>
  <slicer name="Product Category" xr10:uid="{347A7C0D-3FF3-43FE-A182-E56A5D4BD1D3}" cache="Slicer_Product_Category" caption="Product 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85141C-EFE8-4597-B008-4ED8659DE517}" name="Table1" displayName="Table1" ref="A3:Q132" totalsRowShown="0">
  <autoFilter ref="A3:Q132" xr:uid="{3185141C-EFE8-4597-B008-4ED8659DE517}"/>
  <tableColumns count="17">
    <tableColumn id="1" xr3:uid="{E00D72A9-C36C-45B4-8BFD-E9D368FDAD81}" name="Transaction ID"/>
    <tableColumn id="2" xr3:uid="{2976416E-E693-4C6D-BE7C-B924CE460E5F}" name="Day"/>
    <tableColumn id="3" xr3:uid="{0B96672F-009E-4353-BA7B-0DDD5062FD81}" name="Month"/>
    <tableColumn id="4" xr3:uid="{44E43C25-5852-4110-8066-796909567F75}" name="Year"/>
    <tableColumn id="5" xr3:uid="{A56CAFA6-2AA2-44C2-92C4-98AD9D6A7D2E}" name="Day Name"/>
    <tableColumn id="6" xr3:uid="{8FB2D846-B4DC-4E3B-9CBA-4CF6F23F5BCD}" name="Month Name"/>
    <tableColumn id="7" xr3:uid="{42AE36FE-1927-4B0C-9A0A-0592D729F881}" name="Date" dataDxfId="1"/>
    <tableColumn id="8" xr3:uid="{9A8BF97C-01D8-4620-9FF3-DCB45BDE0869}" name="Customer ID"/>
    <tableColumn id="9" xr3:uid="{2C551FDA-C95B-40FC-AB75-BB87D35B06D9}" name="Gender"/>
    <tableColumn id="10" xr3:uid="{8F1C5E9E-3A86-4859-B520-4D7118030E8D}" name="Generation"/>
    <tableColumn id="11" xr3:uid="{0CF8165D-F8C9-4300-AB9B-DDBB69DFF1E0}" name="Age"/>
    <tableColumn id="12" xr3:uid="{4DA75492-DCAE-47EE-944F-C8C2EBEA0097}" name="Product Category"/>
    <tableColumn id="13" xr3:uid="{74DDB70E-3D42-477B-A5BD-421731890072}" name="Quantity"/>
    <tableColumn id="14" xr3:uid="{D9B49618-8BAE-4236-BD76-9E7B3FD41966}" name="Price per Unit"/>
    <tableColumn id="15" xr3:uid="{057F5B42-3ED4-4979-923B-054344E9C8A5}" name="Total Sales"/>
    <tableColumn id="16" xr3:uid="{972F1965-EB6B-4E6D-A54E-C3803BB40370}" name="Commision 2023"/>
    <tableColumn id="17" xr3:uid="{776C9709-08C1-4775-A4B2-CADCB0BC52D1}" name="Commision 20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EA328C-51E7-46ED-85A7-BA967206BB79}" name="Table2" displayName="Table2" ref="A3:Q150" totalsRowShown="0">
  <autoFilter ref="A3:Q150" xr:uid="{3DEA328C-51E7-46ED-85A7-BA967206BB79}"/>
  <tableColumns count="17">
    <tableColumn id="1" xr3:uid="{6D732C73-B542-4533-AAA8-F230ACFF2E4D}" name="Transaction ID"/>
    <tableColumn id="2" xr3:uid="{435F5931-C369-4427-AAE3-652D58A6F56D}" name="Day"/>
    <tableColumn id="3" xr3:uid="{A96603E2-8C4B-4C0F-A7ED-AC1DB1E37123}" name="Month"/>
    <tableColumn id="4" xr3:uid="{9D18A4C8-470E-4FA9-8867-D83404CE2B52}" name="Year"/>
    <tableColumn id="5" xr3:uid="{822D2749-5FF1-4E37-8823-02031F6D6556}" name="Day Name"/>
    <tableColumn id="6" xr3:uid="{B8A30103-E524-467F-9909-8C1E279CC564}" name="Month Name"/>
    <tableColumn id="7" xr3:uid="{ED36270E-BC29-4040-8888-28D96E896C24}" name="Date" dataDxfId="0"/>
    <tableColumn id="8" xr3:uid="{DF18EEFB-A643-4172-AA37-9A48D5CDB3CE}" name="Customer ID"/>
    <tableColumn id="9" xr3:uid="{F2DFD232-08E3-4D4A-89BF-C154014CF226}" name="Gender"/>
    <tableColumn id="10" xr3:uid="{4288245B-54D8-41C7-9316-00FC46C8EEF1}" name="Generation"/>
    <tableColumn id="11" xr3:uid="{21115373-3B66-41A4-8026-0372290BD982}" name="Age"/>
    <tableColumn id="12" xr3:uid="{70345D0B-7193-4F6C-8A17-386F634F6DA3}" name="Product Category"/>
    <tableColumn id="13" xr3:uid="{C383A9CC-C9B5-421C-A50D-2DAE3E0DF2E3}" name="Quantity"/>
    <tableColumn id="14" xr3:uid="{9287C02F-FD45-4B60-94C7-745E2B89E1DD}" name="Price per Unit"/>
    <tableColumn id="15" xr3:uid="{32729708-FFBA-4470-96DD-06696765BFFC}" name="Total Sales"/>
    <tableColumn id="16" xr3:uid="{A0BD2F8C-8839-4029-8F7D-986184D971E4}" name="Commision 2023"/>
    <tableColumn id="17" xr3:uid="{BA128AC1-4110-40F9-83BB-1D8276E2241F}" name="Commision 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CEC60-35E3-498E-AAFE-6C3B5694A33B}">
  <dimension ref="A3:D8"/>
  <sheetViews>
    <sheetView workbookViewId="0">
      <selection activeCell="C3" sqref="C3"/>
    </sheetView>
  </sheetViews>
  <sheetFormatPr defaultRowHeight="15.75"/>
  <cols>
    <col min="1" max="1" width="18.375" bestFit="1" customWidth="1"/>
    <col min="2" max="2" width="10" bestFit="1" customWidth="1"/>
    <col min="3" max="3" width="8" customWidth="1"/>
    <col min="4" max="4" width="10.75" bestFit="1" customWidth="1"/>
    <col min="5" max="5" width="11.75" bestFit="1" customWidth="1"/>
    <col min="6" max="6" width="7" bestFit="1" customWidth="1"/>
    <col min="7" max="7" width="7.875" bestFit="1" customWidth="1"/>
    <col min="8" max="8" width="10" bestFit="1" customWidth="1"/>
    <col min="9" max="9" width="9.875" bestFit="1" customWidth="1"/>
    <col min="10" max="10" width="10.75" bestFit="1" customWidth="1"/>
  </cols>
  <sheetData>
    <row r="3" spans="1:4">
      <c r="A3" s="18" t="s">
        <v>0</v>
      </c>
      <c r="B3" s="18" t="s">
        <v>1</v>
      </c>
    </row>
    <row r="4" spans="1:4">
      <c r="A4" s="18" t="s">
        <v>2</v>
      </c>
      <c r="B4" t="s">
        <v>3</v>
      </c>
      <c r="C4" t="s">
        <v>4</v>
      </c>
      <c r="D4" t="s">
        <v>5</v>
      </c>
    </row>
    <row r="5" spans="1:4">
      <c r="A5" t="s">
        <v>6</v>
      </c>
      <c r="B5" s="13">
        <v>0.16410087719298247</v>
      </c>
      <c r="C5" s="13">
        <v>0.15062500000000001</v>
      </c>
      <c r="D5" s="13">
        <v>0.31472587719298245</v>
      </c>
    </row>
    <row r="6" spans="1:4">
      <c r="A6" t="s">
        <v>7</v>
      </c>
      <c r="B6" s="13">
        <v>0.17823464912280701</v>
      </c>
      <c r="C6" s="13">
        <v>0.16294956140350877</v>
      </c>
      <c r="D6" s="13">
        <v>0.34118421052631581</v>
      </c>
    </row>
    <row r="7" spans="1:4">
      <c r="A7" t="s">
        <v>8</v>
      </c>
      <c r="B7" s="13">
        <v>0.16827850877192982</v>
      </c>
      <c r="C7" s="13">
        <v>0.17581140350877192</v>
      </c>
      <c r="D7" s="13">
        <v>0.34408991228070174</v>
      </c>
    </row>
    <row r="8" spans="1:4">
      <c r="A8" t="s">
        <v>5</v>
      </c>
      <c r="B8" s="13">
        <v>0.5106140350877193</v>
      </c>
      <c r="C8" s="13">
        <v>0.4893859649122807</v>
      </c>
      <c r="D8" s="13">
        <v>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04BE-7082-4E1A-B3D4-478A50964AF1}">
  <dimension ref="A1:Q132"/>
  <sheetViews>
    <sheetView workbookViewId="0"/>
  </sheetViews>
  <sheetFormatPr defaultRowHeight="15.75"/>
  <cols>
    <col min="1" max="1" width="15.125" bestFit="1" customWidth="1"/>
    <col min="5" max="5" width="11.625" bestFit="1" customWidth="1"/>
    <col min="6" max="6" width="14" bestFit="1" customWidth="1"/>
    <col min="7" max="7" width="10.625" bestFit="1" customWidth="1"/>
    <col min="8" max="8" width="13.25" bestFit="1" customWidth="1"/>
    <col min="9" max="9" width="9.125" bestFit="1" customWidth="1"/>
    <col min="10" max="10" width="12.375" bestFit="1" customWidth="1"/>
    <col min="12" max="12" width="17.5" bestFit="1" customWidth="1"/>
    <col min="13" max="13" width="10.375" bestFit="1" customWidth="1"/>
    <col min="14" max="14" width="14.375" bestFit="1" customWidth="1"/>
    <col min="15" max="15" width="11.875" bestFit="1" customWidth="1"/>
    <col min="16" max="17" width="17" bestFit="1" customWidth="1"/>
  </cols>
  <sheetData>
    <row r="1" spans="1:17">
      <c r="A1" s="1" t="s">
        <v>9</v>
      </c>
    </row>
    <row r="3" spans="1:17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</v>
      </c>
      <c r="J3" t="s">
        <v>18</v>
      </c>
      <c r="K3" t="s">
        <v>19</v>
      </c>
      <c r="L3" t="s">
        <v>2</v>
      </c>
      <c r="M3" t="s">
        <v>20</v>
      </c>
      <c r="N3" t="s">
        <v>21</v>
      </c>
      <c r="O3" t="s">
        <v>22</v>
      </c>
      <c r="P3" t="s">
        <v>23</v>
      </c>
      <c r="Q3" t="s">
        <v>24</v>
      </c>
    </row>
    <row r="4" spans="1:17">
      <c r="A4">
        <v>1</v>
      </c>
      <c r="B4">
        <v>24</v>
      </c>
      <c r="C4">
        <v>11</v>
      </c>
      <c r="D4">
        <v>2023</v>
      </c>
      <c r="E4" t="s">
        <v>25</v>
      </c>
      <c r="F4" t="s">
        <v>26</v>
      </c>
      <c r="G4" s="19">
        <v>45254</v>
      </c>
      <c r="H4" t="s">
        <v>27</v>
      </c>
      <c r="I4" t="s">
        <v>4</v>
      </c>
      <c r="J4" t="s">
        <v>28</v>
      </c>
      <c r="K4">
        <v>34</v>
      </c>
      <c r="L4" t="s">
        <v>6</v>
      </c>
      <c r="M4">
        <v>3</v>
      </c>
      <c r="N4">
        <v>50</v>
      </c>
      <c r="O4">
        <v>150</v>
      </c>
      <c r="P4">
        <v>2.25</v>
      </c>
      <c r="Q4">
        <v>3</v>
      </c>
    </row>
    <row r="5" spans="1:17">
      <c r="A5">
        <v>982</v>
      </c>
      <c r="B5">
        <v>19</v>
      </c>
      <c r="C5">
        <v>12</v>
      </c>
      <c r="D5">
        <v>2023</v>
      </c>
      <c r="E5" t="s">
        <v>29</v>
      </c>
      <c r="F5" t="s">
        <v>30</v>
      </c>
      <c r="G5" s="19">
        <v>45279</v>
      </c>
      <c r="H5" t="s">
        <v>31</v>
      </c>
      <c r="I5" t="s">
        <v>3</v>
      </c>
      <c r="J5" t="s">
        <v>28</v>
      </c>
      <c r="K5">
        <v>46</v>
      </c>
      <c r="L5" t="s">
        <v>6</v>
      </c>
      <c r="M5">
        <v>3</v>
      </c>
      <c r="N5">
        <v>30</v>
      </c>
      <c r="O5">
        <v>90</v>
      </c>
      <c r="P5">
        <v>1.3499999999999999</v>
      </c>
      <c r="Q5">
        <v>1.8</v>
      </c>
    </row>
    <row r="6" spans="1:17">
      <c r="A6">
        <v>976</v>
      </c>
      <c r="B6">
        <v>10</v>
      </c>
      <c r="C6">
        <v>10</v>
      </c>
      <c r="D6">
        <v>2023</v>
      </c>
      <c r="E6" t="s">
        <v>29</v>
      </c>
      <c r="F6" t="s">
        <v>32</v>
      </c>
      <c r="G6" s="19">
        <v>45209</v>
      </c>
      <c r="H6" t="s">
        <v>33</v>
      </c>
      <c r="I6" t="s">
        <v>3</v>
      </c>
      <c r="J6" t="s">
        <v>28</v>
      </c>
      <c r="K6">
        <v>48</v>
      </c>
      <c r="L6" t="s">
        <v>6</v>
      </c>
      <c r="M6">
        <v>2</v>
      </c>
      <c r="N6">
        <v>300</v>
      </c>
      <c r="O6">
        <v>600</v>
      </c>
      <c r="P6">
        <v>9</v>
      </c>
      <c r="Q6">
        <v>12</v>
      </c>
    </row>
    <row r="7" spans="1:17">
      <c r="A7">
        <v>974</v>
      </c>
      <c r="B7">
        <v>3</v>
      </c>
      <c r="C7">
        <v>5</v>
      </c>
      <c r="D7">
        <v>2023</v>
      </c>
      <c r="E7" t="s">
        <v>34</v>
      </c>
      <c r="F7" t="s">
        <v>35</v>
      </c>
      <c r="G7" s="19">
        <v>45049</v>
      </c>
      <c r="H7" t="s">
        <v>36</v>
      </c>
      <c r="I7" t="s">
        <v>4</v>
      </c>
      <c r="J7" t="s">
        <v>28</v>
      </c>
      <c r="K7">
        <v>47</v>
      </c>
      <c r="L7" t="s">
        <v>6</v>
      </c>
      <c r="M7">
        <v>1</v>
      </c>
      <c r="N7">
        <v>30</v>
      </c>
      <c r="O7">
        <v>30</v>
      </c>
      <c r="P7">
        <v>0.44999999999999996</v>
      </c>
      <c r="Q7">
        <v>0.6</v>
      </c>
    </row>
    <row r="8" spans="1:17">
      <c r="A8">
        <v>5</v>
      </c>
      <c r="B8">
        <v>6</v>
      </c>
      <c r="C8">
        <v>5</v>
      </c>
      <c r="D8">
        <v>2023</v>
      </c>
      <c r="E8" t="s">
        <v>37</v>
      </c>
      <c r="F8" t="s">
        <v>35</v>
      </c>
      <c r="G8" s="19">
        <v>45052</v>
      </c>
      <c r="H8" t="s">
        <v>38</v>
      </c>
      <c r="I8" t="s">
        <v>4</v>
      </c>
      <c r="J8" t="s">
        <v>28</v>
      </c>
      <c r="K8">
        <v>30</v>
      </c>
      <c r="L8" t="s">
        <v>6</v>
      </c>
      <c r="M8">
        <v>2</v>
      </c>
      <c r="N8">
        <v>50</v>
      </c>
      <c r="O8">
        <v>100</v>
      </c>
      <c r="P8">
        <v>1.5</v>
      </c>
      <c r="Q8">
        <v>2</v>
      </c>
    </row>
    <row r="9" spans="1:17">
      <c r="A9">
        <v>6</v>
      </c>
      <c r="B9">
        <v>25</v>
      </c>
      <c r="C9">
        <v>4</v>
      </c>
      <c r="D9">
        <v>2023</v>
      </c>
      <c r="E9" t="s">
        <v>29</v>
      </c>
      <c r="F9" t="s">
        <v>39</v>
      </c>
      <c r="G9" s="19">
        <v>45041</v>
      </c>
      <c r="H9" t="s">
        <v>40</v>
      </c>
      <c r="I9" t="s">
        <v>3</v>
      </c>
      <c r="J9" t="s">
        <v>28</v>
      </c>
      <c r="K9">
        <v>45</v>
      </c>
      <c r="L9" t="s">
        <v>6</v>
      </c>
      <c r="M9">
        <v>1</v>
      </c>
      <c r="N9">
        <v>30</v>
      </c>
      <c r="O9">
        <v>30</v>
      </c>
      <c r="P9">
        <v>0.44999999999999996</v>
      </c>
      <c r="Q9">
        <v>0.6</v>
      </c>
    </row>
    <row r="10" spans="1:17">
      <c r="A10">
        <v>972</v>
      </c>
      <c r="B10">
        <v>11</v>
      </c>
      <c r="C10">
        <v>2</v>
      </c>
      <c r="D10">
        <v>2023</v>
      </c>
      <c r="E10" t="s">
        <v>37</v>
      </c>
      <c r="F10" t="s">
        <v>41</v>
      </c>
      <c r="G10" s="19">
        <v>44968</v>
      </c>
      <c r="H10" t="s">
        <v>42</v>
      </c>
      <c r="I10" t="s">
        <v>4</v>
      </c>
      <c r="J10" t="s">
        <v>28</v>
      </c>
      <c r="K10">
        <v>49</v>
      </c>
      <c r="L10" t="s">
        <v>6</v>
      </c>
      <c r="M10">
        <v>4</v>
      </c>
      <c r="N10">
        <v>25</v>
      </c>
      <c r="O10">
        <v>100</v>
      </c>
      <c r="P10">
        <v>1.5</v>
      </c>
      <c r="Q10">
        <v>2</v>
      </c>
    </row>
    <row r="11" spans="1:17">
      <c r="A11">
        <v>953</v>
      </c>
      <c r="B11">
        <v>26</v>
      </c>
      <c r="C11">
        <v>4</v>
      </c>
      <c r="D11">
        <v>2023</v>
      </c>
      <c r="E11" t="s">
        <v>34</v>
      </c>
      <c r="F11" t="s">
        <v>39</v>
      </c>
      <c r="G11" s="19">
        <v>45042</v>
      </c>
      <c r="H11" t="s">
        <v>43</v>
      </c>
      <c r="I11" t="s">
        <v>4</v>
      </c>
      <c r="J11" t="s">
        <v>28</v>
      </c>
      <c r="K11">
        <v>45</v>
      </c>
      <c r="L11" t="s">
        <v>6</v>
      </c>
      <c r="M11">
        <v>3</v>
      </c>
      <c r="N11">
        <v>30</v>
      </c>
      <c r="O11">
        <v>90</v>
      </c>
      <c r="P11">
        <v>1.3499999999999999</v>
      </c>
      <c r="Q11">
        <v>1.8</v>
      </c>
    </row>
    <row r="12" spans="1:17">
      <c r="A12">
        <v>951</v>
      </c>
      <c r="B12">
        <v>2</v>
      </c>
      <c r="C12">
        <v>11</v>
      </c>
      <c r="D12">
        <v>2023</v>
      </c>
      <c r="E12" t="s">
        <v>44</v>
      </c>
      <c r="F12" t="s">
        <v>26</v>
      </c>
      <c r="G12" s="19">
        <v>45232</v>
      </c>
      <c r="H12" t="s">
        <v>45</v>
      </c>
      <c r="I12" t="s">
        <v>4</v>
      </c>
      <c r="J12" t="s">
        <v>28</v>
      </c>
      <c r="K12">
        <v>33</v>
      </c>
      <c r="L12" t="s">
        <v>6</v>
      </c>
      <c r="M12">
        <v>2</v>
      </c>
      <c r="N12">
        <v>50</v>
      </c>
      <c r="O12">
        <v>100</v>
      </c>
      <c r="P12">
        <v>1.5</v>
      </c>
      <c r="Q12">
        <v>2</v>
      </c>
    </row>
    <row r="13" spans="1:17">
      <c r="A13">
        <v>945</v>
      </c>
      <c r="B13">
        <v>13</v>
      </c>
      <c r="C13">
        <v>2</v>
      </c>
      <c r="D13">
        <v>2023</v>
      </c>
      <c r="E13" t="s">
        <v>46</v>
      </c>
      <c r="F13" t="s">
        <v>41</v>
      </c>
      <c r="G13" s="19">
        <v>44970</v>
      </c>
      <c r="H13" t="s">
        <v>47</v>
      </c>
      <c r="I13" t="s">
        <v>4</v>
      </c>
      <c r="J13" t="s">
        <v>28</v>
      </c>
      <c r="K13">
        <v>30</v>
      </c>
      <c r="L13" t="s">
        <v>6</v>
      </c>
      <c r="M13">
        <v>1</v>
      </c>
      <c r="N13">
        <v>25</v>
      </c>
      <c r="O13">
        <v>25</v>
      </c>
      <c r="P13">
        <v>0.375</v>
      </c>
      <c r="Q13">
        <v>0.5</v>
      </c>
    </row>
    <row r="14" spans="1:17">
      <c r="A14">
        <v>935</v>
      </c>
      <c r="B14">
        <v>9</v>
      </c>
      <c r="C14">
        <v>9</v>
      </c>
      <c r="D14">
        <v>2023</v>
      </c>
      <c r="E14" t="s">
        <v>37</v>
      </c>
      <c r="F14" t="s">
        <v>48</v>
      </c>
      <c r="G14" s="19">
        <v>45178</v>
      </c>
      <c r="H14" t="s">
        <v>49</v>
      </c>
      <c r="I14" t="s">
        <v>3</v>
      </c>
      <c r="J14" t="s">
        <v>28</v>
      </c>
      <c r="K14">
        <v>34</v>
      </c>
      <c r="L14" t="s">
        <v>6</v>
      </c>
      <c r="M14">
        <v>1</v>
      </c>
      <c r="N14">
        <v>50</v>
      </c>
      <c r="O14">
        <v>50</v>
      </c>
      <c r="P14">
        <v>0.75</v>
      </c>
      <c r="Q14">
        <v>1</v>
      </c>
    </row>
    <row r="15" spans="1:17">
      <c r="A15">
        <v>12</v>
      </c>
      <c r="B15">
        <v>30</v>
      </c>
      <c r="C15">
        <v>10</v>
      </c>
      <c r="D15">
        <v>2023</v>
      </c>
      <c r="E15" t="s">
        <v>46</v>
      </c>
      <c r="F15" t="s">
        <v>32</v>
      </c>
      <c r="G15" s="19">
        <v>45229</v>
      </c>
      <c r="H15" t="s">
        <v>50</v>
      </c>
      <c r="I15" t="s">
        <v>4</v>
      </c>
      <c r="J15" t="s">
        <v>28</v>
      </c>
      <c r="K15">
        <v>35</v>
      </c>
      <c r="L15" t="s">
        <v>6</v>
      </c>
      <c r="M15">
        <v>3</v>
      </c>
      <c r="N15">
        <v>25</v>
      </c>
      <c r="O15">
        <v>75</v>
      </c>
      <c r="P15">
        <v>1.125</v>
      </c>
      <c r="Q15">
        <v>1.5</v>
      </c>
    </row>
    <row r="16" spans="1:17">
      <c r="A16">
        <v>934</v>
      </c>
      <c r="B16">
        <v>25</v>
      </c>
      <c r="C16">
        <v>7</v>
      </c>
      <c r="D16">
        <v>2023</v>
      </c>
      <c r="E16" t="s">
        <v>29</v>
      </c>
      <c r="F16" t="s">
        <v>51</v>
      </c>
      <c r="G16" s="19">
        <v>45132</v>
      </c>
      <c r="H16" t="s">
        <v>52</v>
      </c>
      <c r="I16" t="s">
        <v>4</v>
      </c>
      <c r="J16" t="s">
        <v>28</v>
      </c>
      <c r="K16">
        <v>30</v>
      </c>
      <c r="L16" t="s">
        <v>6</v>
      </c>
      <c r="M16">
        <v>1</v>
      </c>
      <c r="N16">
        <v>500</v>
      </c>
      <c r="O16">
        <v>500</v>
      </c>
      <c r="P16">
        <v>7.5</v>
      </c>
      <c r="Q16">
        <v>10</v>
      </c>
    </row>
    <row r="17" spans="1:17">
      <c r="A17">
        <v>932</v>
      </c>
      <c r="B17">
        <v>28</v>
      </c>
      <c r="C17">
        <v>2</v>
      </c>
      <c r="D17">
        <v>2023</v>
      </c>
      <c r="E17" t="s">
        <v>29</v>
      </c>
      <c r="F17" t="s">
        <v>41</v>
      </c>
      <c r="G17" s="19">
        <v>44985</v>
      </c>
      <c r="H17" t="s">
        <v>53</v>
      </c>
      <c r="I17" t="s">
        <v>3</v>
      </c>
      <c r="J17" t="s">
        <v>28</v>
      </c>
      <c r="K17">
        <v>45</v>
      </c>
      <c r="L17" t="s">
        <v>6</v>
      </c>
      <c r="M17">
        <v>4</v>
      </c>
      <c r="N17">
        <v>25</v>
      </c>
      <c r="O17">
        <v>100</v>
      </c>
      <c r="P17">
        <v>1.5</v>
      </c>
      <c r="Q17">
        <v>2</v>
      </c>
    </row>
    <row r="18" spans="1:17">
      <c r="A18">
        <v>931</v>
      </c>
      <c r="B18">
        <v>2</v>
      </c>
      <c r="C18">
        <v>9</v>
      </c>
      <c r="D18">
        <v>2023</v>
      </c>
      <c r="E18" t="s">
        <v>37</v>
      </c>
      <c r="F18" t="s">
        <v>48</v>
      </c>
      <c r="G18" s="19">
        <v>45171</v>
      </c>
      <c r="H18" t="s">
        <v>54</v>
      </c>
      <c r="I18" t="s">
        <v>4</v>
      </c>
      <c r="J18" t="s">
        <v>28</v>
      </c>
      <c r="K18">
        <v>30</v>
      </c>
      <c r="L18" t="s">
        <v>6</v>
      </c>
      <c r="M18">
        <v>4</v>
      </c>
      <c r="N18">
        <v>30</v>
      </c>
      <c r="O18">
        <v>120</v>
      </c>
      <c r="P18">
        <v>1.7999999999999998</v>
      </c>
      <c r="Q18">
        <v>2.4</v>
      </c>
    </row>
    <row r="19" spans="1:17">
      <c r="A19">
        <v>923</v>
      </c>
      <c r="B19">
        <v>26</v>
      </c>
      <c r="C19">
        <v>5</v>
      </c>
      <c r="D19">
        <v>2023</v>
      </c>
      <c r="E19" t="s">
        <v>25</v>
      </c>
      <c r="F19" t="s">
        <v>35</v>
      </c>
      <c r="G19" s="19">
        <v>45072</v>
      </c>
      <c r="H19" t="s">
        <v>55</v>
      </c>
      <c r="I19" t="s">
        <v>4</v>
      </c>
      <c r="J19" t="s">
        <v>28</v>
      </c>
      <c r="K19">
        <v>32</v>
      </c>
      <c r="L19" t="s">
        <v>6</v>
      </c>
      <c r="M19">
        <v>3</v>
      </c>
      <c r="N19">
        <v>300</v>
      </c>
      <c r="O19">
        <v>900</v>
      </c>
      <c r="P19">
        <v>13.5</v>
      </c>
      <c r="Q19">
        <v>18</v>
      </c>
    </row>
    <row r="20" spans="1:17">
      <c r="A20">
        <v>908</v>
      </c>
      <c r="B20">
        <v>29</v>
      </c>
      <c r="C20">
        <v>12</v>
      </c>
      <c r="D20">
        <v>2023</v>
      </c>
      <c r="E20" t="s">
        <v>25</v>
      </c>
      <c r="F20" t="s">
        <v>30</v>
      </c>
      <c r="G20" s="19">
        <v>45289</v>
      </c>
      <c r="H20" t="s">
        <v>56</v>
      </c>
      <c r="I20" t="s">
        <v>4</v>
      </c>
      <c r="J20" t="s">
        <v>28</v>
      </c>
      <c r="K20">
        <v>46</v>
      </c>
      <c r="L20" t="s">
        <v>6</v>
      </c>
      <c r="M20">
        <v>4</v>
      </c>
      <c r="N20">
        <v>300</v>
      </c>
      <c r="O20">
        <v>1200</v>
      </c>
      <c r="P20">
        <v>18</v>
      </c>
      <c r="Q20">
        <v>24</v>
      </c>
    </row>
    <row r="21" spans="1:17">
      <c r="A21">
        <v>869</v>
      </c>
      <c r="B21">
        <v>25</v>
      </c>
      <c r="C21">
        <v>10</v>
      </c>
      <c r="D21">
        <v>2023</v>
      </c>
      <c r="E21" t="s">
        <v>34</v>
      </c>
      <c r="F21" t="s">
        <v>32</v>
      </c>
      <c r="G21" s="19">
        <v>45224</v>
      </c>
      <c r="H21" t="s">
        <v>57</v>
      </c>
      <c r="I21" t="s">
        <v>4</v>
      </c>
      <c r="J21" t="s">
        <v>28</v>
      </c>
      <c r="K21">
        <v>37</v>
      </c>
      <c r="L21" t="s">
        <v>6</v>
      </c>
      <c r="M21">
        <v>3</v>
      </c>
      <c r="N21">
        <v>500</v>
      </c>
      <c r="O21">
        <v>1500</v>
      </c>
      <c r="P21">
        <v>22.5</v>
      </c>
      <c r="Q21">
        <v>30</v>
      </c>
    </row>
    <row r="22" spans="1:17">
      <c r="A22">
        <v>846</v>
      </c>
      <c r="B22">
        <v>22</v>
      </c>
      <c r="C22">
        <v>9</v>
      </c>
      <c r="D22">
        <v>2023</v>
      </c>
      <c r="E22" t="s">
        <v>25</v>
      </c>
      <c r="F22" t="s">
        <v>48</v>
      </c>
      <c r="G22" s="19">
        <v>45191</v>
      </c>
      <c r="H22" t="s">
        <v>58</v>
      </c>
      <c r="I22" t="s">
        <v>4</v>
      </c>
      <c r="J22" t="s">
        <v>28</v>
      </c>
      <c r="K22">
        <v>42</v>
      </c>
      <c r="L22" t="s">
        <v>6</v>
      </c>
      <c r="M22">
        <v>1</v>
      </c>
      <c r="N22">
        <v>50</v>
      </c>
      <c r="O22">
        <v>50</v>
      </c>
      <c r="P22">
        <v>0.75</v>
      </c>
      <c r="Q22">
        <v>1</v>
      </c>
    </row>
    <row r="23" spans="1:17">
      <c r="A23">
        <v>833</v>
      </c>
      <c r="B23">
        <v>16</v>
      </c>
      <c r="C23">
        <v>6</v>
      </c>
      <c r="D23">
        <v>2023</v>
      </c>
      <c r="E23" t="s">
        <v>25</v>
      </c>
      <c r="F23" t="s">
        <v>59</v>
      </c>
      <c r="G23" s="19">
        <v>45093</v>
      </c>
      <c r="H23" t="s">
        <v>60</v>
      </c>
      <c r="I23" t="s">
        <v>4</v>
      </c>
      <c r="J23" t="s">
        <v>28</v>
      </c>
      <c r="K23">
        <v>42</v>
      </c>
      <c r="L23" t="s">
        <v>6</v>
      </c>
      <c r="M23">
        <v>4</v>
      </c>
      <c r="N23">
        <v>50</v>
      </c>
      <c r="O23">
        <v>200</v>
      </c>
      <c r="P23">
        <v>3</v>
      </c>
      <c r="Q23">
        <v>4</v>
      </c>
    </row>
    <row r="24" spans="1:17">
      <c r="A24">
        <v>832</v>
      </c>
      <c r="B24">
        <v>11</v>
      </c>
      <c r="C24">
        <v>9</v>
      </c>
      <c r="D24">
        <v>2023</v>
      </c>
      <c r="E24" t="s">
        <v>46</v>
      </c>
      <c r="F24" t="s">
        <v>48</v>
      </c>
      <c r="G24" s="19">
        <v>45180</v>
      </c>
      <c r="H24" t="s">
        <v>61</v>
      </c>
      <c r="I24" t="s">
        <v>4</v>
      </c>
      <c r="J24" t="s">
        <v>28</v>
      </c>
      <c r="K24">
        <v>47</v>
      </c>
      <c r="L24" t="s">
        <v>6</v>
      </c>
      <c r="M24">
        <v>4</v>
      </c>
      <c r="N24">
        <v>500</v>
      </c>
      <c r="O24">
        <v>2000</v>
      </c>
      <c r="P24">
        <v>30</v>
      </c>
      <c r="Q24">
        <v>40</v>
      </c>
    </row>
    <row r="25" spans="1:17">
      <c r="A25">
        <v>825</v>
      </c>
      <c r="B25">
        <v>26</v>
      </c>
      <c r="C25">
        <v>8</v>
      </c>
      <c r="D25">
        <v>2023</v>
      </c>
      <c r="E25" t="s">
        <v>37</v>
      </c>
      <c r="F25" t="s">
        <v>62</v>
      </c>
      <c r="G25" s="19">
        <v>45164</v>
      </c>
      <c r="H25" t="s">
        <v>63</v>
      </c>
      <c r="I25" t="s">
        <v>3</v>
      </c>
      <c r="J25" t="s">
        <v>28</v>
      </c>
      <c r="K25">
        <v>46</v>
      </c>
      <c r="L25" t="s">
        <v>6</v>
      </c>
      <c r="M25">
        <v>1</v>
      </c>
      <c r="N25">
        <v>25</v>
      </c>
      <c r="O25">
        <v>25</v>
      </c>
      <c r="P25">
        <v>0.375</v>
      </c>
      <c r="Q25">
        <v>0.5</v>
      </c>
    </row>
    <row r="26" spans="1:17">
      <c r="A26">
        <v>819</v>
      </c>
      <c r="B26">
        <v>15</v>
      </c>
      <c r="C26">
        <v>6</v>
      </c>
      <c r="D26">
        <v>2023</v>
      </c>
      <c r="E26" t="s">
        <v>44</v>
      </c>
      <c r="F26" t="s">
        <v>59</v>
      </c>
      <c r="G26" s="19">
        <v>45092</v>
      </c>
      <c r="H26" t="s">
        <v>64</v>
      </c>
      <c r="I26" t="s">
        <v>3</v>
      </c>
      <c r="J26" t="s">
        <v>28</v>
      </c>
      <c r="K26">
        <v>35</v>
      </c>
      <c r="L26" t="s">
        <v>6</v>
      </c>
      <c r="M26">
        <v>2</v>
      </c>
      <c r="N26">
        <v>50</v>
      </c>
      <c r="O26">
        <v>100</v>
      </c>
      <c r="P26">
        <v>1.5</v>
      </c>
      <c r="Q26">
        <v>2</v>
      </c>
    </row>
    <row r="27" spans="1:17">
      <c r="A27">
        <v>817</v>
      </c>
      <c r="B27">
        <v>31</v>
      </c>
      <c r="C27">
        <v>10</v>
      </c>
      <c r="D27">
        <v>2023</v>
      </c>
      <c r="E27" t="s">
        <v>29</v>
      </c>
      <c r="F27" t="s">
        <v>32</v>
      </c>
      <c r="G27" s="19">
        <v>45230</v>
      </c>
      <c r="H27" t="s">
        <v>65</v>
      </c>
      <c r="I27" t="s">
        <v>4</v>
      </c>
      <c r="J27" t="s">
        <v>28</v>
      </c>
      <c r="K27">
        <v>30</v>
      </c>
      <c r="L27" t="s">
        <v>6</v>
      </c>
      <c r="M27">
        <v>4</v>
      </c>
      <c r="N27">
        <v>50</v>
      </c>
      <c r="O27">
        <v>200</v>
      </c>
      <c r="P27">
        <v>3</v>
      </c>
      <c r="Q27">
        <v>4</v>
      </c>
    </row>
    <row r="28" spans="1:17">
      <c r="A28">
        <v>816</v>
      </c>
      <c r="B28">
        <v>12</v>
      </c>
      <c r="C28">
        <v>8</v>
      </c>
      <c r="D28">
        <v>2023</v>
      </c>
      <c r="E28" t="s">
        <v>37</v>
      </c>
      <c r="F28" t="s">
        <v>62</v>
      </c>
      <c r="G28" s="19">
        <v>45150</v>
      </c>
      <c r="H28" t="s">
        <v>66</v>
      </c>
      <c r="I28" t="s">
        <v>4</v>
      </c>
      <c r="J28" t="s">
        <v>28</v>
      </c>
      <c r="K28">
        <v>47</v>
      </c>
      <c r="L28" t="s">
        <v>6</v>
      </c>
      <c r="M28">
        <v>2</v>
      </c>
      <c r="N28">
        <v>500</v>
      </c>
      <c r="O28">
        <v>1000</v>
      </c>
      <c r="P28">
        <v>15</v>
      </c>
      <c r="Q28">
        <v>20</v>
      </c>
    </row>
    <row r="29" spans="1:17">
      <c r="A29">
        <v>808</v>
      </c>
      <c r="B29">
        <v>1</v>
      </c>
      <c r="C29">
        <v>4</v>
      </c>
      <c r="D29">
        <v>2023</v>
      </c>
      <c r="E29" t="s">
        <v>37</v>
      </c>
      <c r="F29" t="s">
        <v>39</v>
      </c>
      <c r="G29" s="19">
        <v>45017</v>
      </c>
      <c r="H29" t="s">
        <v>67</v>
      </c>
      <c r="I29" t="s">
        <v>4</v>
      </c>
      <c r="J29" t="s">
        <v>28</v>
      </c>
      <c r="K29">
        <v>33</v>
      </c>
      <c r="L29" t="s">
        <v>6</v>
      </c>
      <c r="M29">
        <v>4</v>
      </c>
      <c r="N29">
        <v>500</v>
      </c>
      <c r="O29">
        <v>2000</v>
      </c>
      <c r="P29">
        <v>30</v>
      </c>
      <c r="Q29">
        <v>40</v>
      </c>
    </row>
    <row r="30" spans="1:17">
      <c r="A30">
        <v>27</v>
      </c>
      <c r="B30">
        <v>3</v>
      </c>
      <c r="C30">
        <v>8</v>
      </c>
      <c r="D30">
        <v>2023</v>
      </c>
      <c r="E30" t="s">
        <v>44</v>
      </c>
      <c r="F30" t="s">
        <v>62</v>
      </c>
      <c r="G30" s="19">
        <v>45141</v>
      </c>
      <c r="H30" t="s">
        <v>68</v>
      </c>
      <c r="I30" t="s">
        <v>3</v>
      </c>
      <c r="J30" t="s">
        <v>28</v>
      </c>
      <c r="K30">
        <v>38</v>
      </c>
      <c r="L30" t="s">
        <v>6</v>
      </c>
      <c r="M30">
        <v>2</v>
      </c>
      <c r="N30">
        <v>25</v>
      </c>
      <c r="O30">
        <v>50</v>
      </c>
      <c r="P30">
        <v>0.75</v>
      </c>
      <c r="Q30">
        <v>1</v>
      </c>
    </row>
    <row r="31" spans="1:17">
      <c r="A31">
        <v>28</v>
      </c>
      <c r="B31">
        <v>23</v>
      </c>
      <c r="C31">
        <v>4</v>
      </c>
      <c r="D31">
        <v>2023</v>
      </c>
      <c r="E31" t="s">
        <v>69</v>
      </c>
      <c r="F31" t="s">
        <v>39</v>
      </c>
      <c r="G31" s="19">
        <v>45039</v>
      </c>
      <c r="H31" t="s">
        <v>70</v>
      </c>
      <c r="I31" t="s">
        <v>3</v>
      </c>
      <c r="J31" t="s">
        <v>28</v>
      </c>
      <c r="K31">
        <v>43</v>
      </c>
      <c r="L31" t="s">
        <v>6</v>
      </c>
      <c r="M31">
        <v>1</v>
      </c>
      <c r="N31">
        <v>500</v>
      </c>
      <c r="O31">
        <v>500</v>
      </c>
      <c r="P31">
        <v>7.5</v>
      </c>
      <c r="Q31">
        <v>10</v>
      </c>
    </row>
    <row r="32" spans="1:17">
      <c r="A32">
        <v>806</v>
      </c>
      <c r="B32">
        <v>20</v>
      </c>
      <c r="C32">
        <v>3</v>
      </c>
      <c r="D32">
        <v>2023</v>
      </c>
      <c r="E32" t="s">
        <v>46</v>
      </c>
      <c r="F32" t="s">
        <v>71</v>
      </c>
      <c r="G32" s="19">
        <v>45005</v>
      </c>
      <c r="H32" t="s">
        <v>72</v>
      </c>
      <c r="I32" t="s">
        <v>3</v>
      </c>
      <c r="J32" t="s">
        <v>28</v>
      </c>
      <c r="K32">
        <v>35</v>
      </c>
      <c r="L32" t="s">
        <v>6</v>
      </c>
      <c r="M32">
        <v>3</v>
      </c>
      <c r="N32">
        <v>300</v>
      </c>
      <c r="O32">
        <v>900</v>
      </c>
      <c r="P32">
        <v>13.5</v>
      </c>
      <c r="Q32">
        <v>18</v>
      </c>
    </row>
    <row r="33" spans="1:17">
      <c r="A33">
        <v>30</v>
      </c>
      <c r="B33">
        <v>29</v>
      </c>
      <c r="C33">
        <v>10</v>
      </c>
      <c r="D33">
        <v>2023</v>
      </c>
      <c r="E33" t="s">
        <v>69</v>
      </c>
      <c r="F33" t="s">
        <v>32</v>
      </c>
      <c r="G33" s="19">
        <v>45228</v>
      </c>
      <c r="H33" t="s">
        <v>73</v>
      </c>
      <c r="I33" t="s">
        <v>3</v>
      </c>
      <c r="J33" t="s">
        <v>28</v>
      </c>
      <c r="K33">
        <v>39</v>
      </c>
      <c r="L33" t="s">
        <v>6</v>
      </c>
      <c r="M33">
        <v>3</v>
      </c>
      <c r="N33">
        <v>300</v>
      </c>
      <c r="O33">
        <v>900</v>
      </c>
      <c r="P33">
        <v>13.5</v>
      </c>
      <c r="Q33">
        <v>18</v>
      </c>
    </row>
    <row r="34" spans="1:17">
      <c r="A34">
        <v>805</v>
      </c>
      <c r="B34">
        <v>29</v>
      </c>
      <c r="C34">
        <v>12</v>
      </c>
      <c r="D34">
        <v>2023</v>
      </c>
      <c r="E34" t="s">
        <v>25</v>
      </c>
      <c r="F34" t="s">
        <v>30</v>
      </c>
      <c r="G34" s="19">
        <v>45289</v>
      </c>
      <c r="H34" t="s">
        <v>74</v>
      </c>
      <c r="I34" t="s">
        <v>3</v>
      </c>
      <c r="J34" t="s">
        <v>28</v>
      </c>
      <c r="K34">
        <v>30</v>
      </c>
      <c r="L34" t="s">
        <v>6</v>
      </c>
      <c r="M34">
        <v>3</v>
      </c>
      <c r="N34">
        <v>500</v>
      </c>
      <c r="O34">
        <v>1500</v>
      </c>
      <c r="P34">
        <v>22.5</v>
      </c>
      <c r="Q34">
        <v>30</v>
      </c>
    </row>
    <row r="35" spans="1:17">
      <c r="A35">
        <v>32</v>
      </c>
      <c r="B35">
        <v>4</v>
      </c>
      <c r="C35">
        <v>1</v>
      </c>
      <c r="D35">
        <v>2023</v>
      </c>
      <c r="E35" t="s">
        <v>34</v>
      </c>
      <c r="F35" t="s">
        <v>75</v>
      </c>
      <c r="G35" s="19">
        <v>44930</v>
      </c>
      <c r="H35" t="s">
        <v>76</v>
      </c>
      <c r="I35" t="s">
        <v>4</v>
      </c>
      <c r="J35" t="s">
        <v>28</v>
      </c>
      <c r="K35">
        <v>30</v>
      </c>
      <c r="L35" t="s">
        <v>6</v>
      </c>
      <c r="M35">
        <v>3</v>
      </c>
      <c r="N35">
        <v>30</v>
      </c>
      <c r="O35">
        <v>90</v>
      </c>
      <c r="P35">
        <v>1.3499999999999999</v>
      </c>
      <c r="Q35">
        <v>1.8</v>
      </c>
    </row>
    <row r="36" spans="1:17">
      <c r="A36">
        <v>802</v>
      </c>
      <c r="B36">
        <v>5</v>
      </c>
      <c r="C36">
        <v>7</v>
      </c>
      <c r="D36">
        <v>2023</v>
      </c>
      <c r="E36" t="s">
        <v>34</v>
      </c>
      <c r="F36" t="s">
        <v>51</v>
      </c>
      <c r="G36" s="19">
        <v>45112</v>
      </c>
      <c r="H36" t="s">
        <v>77</v>
      </c>
      <c r="I36" t="s">
        <v>3</v>
      </c>
      <c r="J36" t="s">
        <v>28</v>
      </c>
      <c r="K36">
        <v>46</v>
      </c>
      <c r="L36" t="s">
        <v>6</v>
      </c>
      <c r="M36">
        <v>1</v>
      </c>
      <c r="N36">
        <v>30</v>
      </c>
      <c r="O36">
        <v>30</v>
      </c>
      <c r="P36">
        <v>0.44999999999999996</v>
      </c>
      <c r="Q36">
        <v>0.6</v>
      </c>
    </row>
    <row r="37" spans="1:17">
      <c r="A37">
        <v>796</v>
      </c>
      <c r="B37">
        <v>24</v>
      </c>
      <c r="C37">
        <v>6</v>
      </c>
      <c r="D37">
        <v>2023</v>
      </c>
      <c r="E37" t="s">
        <v>37</v>
      </c>
      <c r="F37" t="s">
        <v>59</v>
      </c>
      <c r="G37" s="19">
        <v>45101</v>
      </c>
      <c r="H37" t="s">
        <v>78</v>
      </c>
      <c r="I37" t="s">
        <v>4</v>
      </c>
      <c r="J37" t="s">
        <v>28</v>
      </c>
      <c r="K37">
        <v>43</v>
      </c>
      <c r="L37" t="s">
        <v>6</v>
      </c>
      <c r="M37">
        <v>4</v>
      </c>
      <c r="N37">
        <v>30</v>
      </c>
      <c r="O37">
        <v>120</v>
      </c>
      <c r="P37">
        <v>1.7999999999999998</v>
      </c>
      <c r="Q37">
        <v>2.4</v>
      </c>
    </row>
    <row r="38" spans="1:17">
      <c r="A38">
        <v>785</v>
      </c>
      <c r="B38">
        <v>3</v>
      </c>
      <c r="C38">
        <v>3</v>
      </c>
      <c r="D38">
        <v>2023</v>
      </c>
      <c r="E38" t="s">
        <v>25</v>
      </c>
      <c r="F38" t="s">
        <v>71</v>
      </c>
      <c r="G38" s="19">
        <v>44988</v>
      </c>
      <c r="H38" t="s">
        <v>79</v>
      </c>
      <c r="I38" t="s">
        <v>3</v>
      </c>
      <c r="J38" t="s">
        <v>28</v>
      </c>
      <c r="K38">
        <v>31</v>
      </c>
      <c r="L38" t="s">
        <v>6</v>
      </c>
      <c r="M38">
        <v>4</v>
      </c>
      <c r="N38">
        <v>50</v>
      </c>
      <c r="O38">
        <v>200</v>
      </c>
      <c r="P38">
        <v>3</v>
      </c>
      <c r="Q38">
        <v>4</v>
      </c>
    </row>
    <row r="39" spans="1:17">
      <c r="A39">
        <v>781</v>
      </c>
      <c r="B39">
        <v>23</v>
      </c>
      <c r="C39">
        <v>12</v>
      </c>
      <c r="D39">
        <v>2023</v>
      </c>
      <c r="E39" t="s">
        <v>37</v>
      </c>
      <c r="F39" t="s">
        <v>30</v>
      </c>
      <c r="G39" s="19">
        <v>45283</v>
      </c>
      <c r="H39" t="s">
        <v>80</v>
      </c>
      <c r="I39" t="s">
        <v>4</v>
      </c>
      <c r="J39" t="s">
        <v>28</v>
      </c>
      <c r="K39">
        <v>35</v>
      </c>
      <c r="L39" t="s">
        <v>6</v>
      </c>
      <c r="M39">
        <v>1</v>
      </c>
      <c r="N39">
        <v>500</v>
      </c>
      <c r="O39">
        <v>500</v>
      </c>
      <c r="P39">
        <v>7.5</v>
      </c>
      <c r="Q39">
        <v>10</v>
      </c>
    </row>
    <row r="40" spans="1:17">
      <c r="A40">
        <v>778</v>
      </c>
      <c r="B40">
        <v>18</v>
      </c>
      <c r="C40">
        <v>11</v>
      </c>
      <c r="D40">
        <v>2023</v>
      </c>
      <c r="E40" t="s">
        <v>37</v>
      </c>
      <c r="F40" t="s">
        <v>26</v>
      </c>
      <c r="G40" s="19">
        <v>45248</v>
      </c>
      <c r="H40" t="s">
        <v>81</v>
      </c>
      <c r="I40" t="s">
        <v>3</v>
      </c>
      <c r="J40" t="s">
        <v>28</v>
      </c>
      <c r="K40">
        <v>47</v>
      </c>
      <c r="L40" t="s">
        <v>6</v>
      </c>
      <c r="M40">
        <v>4</v>
      </c>
      <c r="N40">
        <v>25</v>
      </c>
      <c r="O40">
        <v>100</v>
      </c>
      <c r="P40">
        <v>1.5</v>
      </c>
      <c r="Q40">
        <v>2</v>
      </c>
    </row>
    <row r="41" spans="1:17">
      <c r="A41">
        <v>38</v>
      </c>
      <c r="B41">
        <v>21</v>
      </c>
      <c r="C41">
        <v>3</v>
      </c>
      <c r="D41">
        <v>2023</v>
      </c>
      <c r="E41" t="s">
        <v>29</v>
      </c>
      <c r="F41" t="s">
        <v>71</v>
      </c>
      <c r="G41" s="19">
        <v>45006</v>
      </c>
      <c r="H41" t="s">
        <v>82</v>
      </c>
      <c r="I41" t="s">
        <v>4</v>
      </c>
      <c r="J41" t="s">
        <v>28</v>
      </c>
      <c r="K41">
        <v>38</v>
      </c>
      <c r="L41" t="s">
        <v>6</v>
      </c>
      <c r="M41">
        <v>4</v>
      </c>
      <c r="N41">
        <v>50</v>
      </c>
      <c r="O41">
        <v>200</v>
      </c>
      <c r="P41">
        <v>3</v>
      </c>
      <c r="Q41">
        <v>4</v>
      </c>
    </row>
    <row r="42" spans="1:17">
      <c r="A42">
        <v>767</v>
      </c>
      <c r="B42">
        <v>24</v>
      </c>
      <c r="C42">
        <v>10</v>
      </c>
      <c r="D42">
        <v>2023</v>
      </c>
      <c r="E42" t="s">
        <v>29</v>
      </c>
      <c r="F42" t="s">
        <v>32</v>
      </c>
      <c r="G42" s="19">
        <v>45223</v>
      </c>
      <c r="H42" t="s">
        <v>83</v>
      </c>
      <c r="I42" t="s">
        <v>4</v>
      </c>
      <c r="J42" t="s">
        <v>28</v>
      </c>
      <c r="K42">
        <v>39</v>
      </c>
      <c r="L42" t="s">
        <v>6</v>
      </c>
      <c r="M42">
        <v>3</v>
      </c>
      <c r="N42">
        <v>25</v>
      </c>
      <c r="O42">
        <v>75</v>
      </c>
      <c r="P42">
        <v>1.125</v>
      </c>
      <c r="Q42">
        <v>1.5</v>
      </c>
    </row>
    <row r="43" spans="1:17">
      <c r="A43">
        <v>40</v>
      </c>
      <c r="B43">
        <v>22</v>
      </c>
      <c r="C43">
        <v>6</v>
      </c>
      <c r="D43">
        <v>2023</v>
      </c>
      <c r="E43" t="s">
        <v>44</v>
      </c>
      <c r="F43" t="s">
        <v>59</v>
      </c>
      <c r="G43" s="19">
        <v>45099</v>
      </c>
      <c r="H43" t="s">
        <v>84</v>
      </c>
      <c r="I43" t="s">
        <v>4</v>
      </c>
      <c r="J43" t="s">
        <v>28</v>
      </c>
      <c r="K43">
        <v>45</v>
      </c>
      <c r="L43" t="s">
        <v>6</v>
      </c>
      <c r="M43">
        <v>1</v>
      </c>
      <c r="N43">
        <v>50</v>
      </c>
      <c r="O43">
        <v>50</v>
      </c>
      <c r="P43">
        <v>0.75</v>
      </c>
      <c r="Q43">
        <v>1</v>
      </c>
    </row>
    <row r="44" spans="1:17">
      <c r="A44">
        <v>749</v>
      </c>
      <c r="B44">
        <v>3</v>
      </c>
      <c r="C44">
        <v>5</v>
      </c>
      <c r="D44">
        <v>2023</v>
      </c>
      <c r="E44" t="s">
        <v>34</v>
      </c>
      <c r="F44" t="s">
        <v>35</v>
      </c>
      <c r="G44" s="19">
        <v>45049</v>
      </c>
      <c r="H44" t="s">
        <v>85</v>
      </c>
      <c r="I44" t="s">
        <v>4</v>
      </c>
      <c r="J44" t="s">
        <v>28</v>
      </c>
      <c r="K44">
        <v>42</v>
      </c>
      <c r="L44" t="s">
        <v>6</v>
      </c>
      <c r="M44">
        <v>1</v>
      </c>
      <c r="N44">
        <v>30</v>
      </c>
      <c r="O44">
        <v>30</v>
      </c>
      <c r="P44">
        <v>0.44999999999999996</v>
      </c>
      <c r="Q44">
        <v>0.6</v>
      </c>
    </row>
    <row r="45" spans="1:17">
      <c r="A45">
        <v>743</v>
      </c>
      <c r="B45">
        <v>16</v>
      </c>
      <c r="C45">
        <v>1</v>
      </c>
      <c r="D45">
        <v>2023</v>
      </c>
      <c r="E45" t="s">
        <v>46</v>
      </c>
      <c r="F45" t="s">
        <v>75</v>
      </c>
      <c r="G45" s="19">
        <v>44942</v>
      </c>
      <c r="H45" t="s">
        <v>86</v>
      </c>
      <c r="I45" t="s">
        <v>3</v>
      </c>
      <c r="J45" t="s">
        <v>28</v>
      </c>
      <c r="K45">
        <v>34</v>
      </c>
      <c r="L45" t="s">
        <v>6</v>
      </c>
      <c r="M45">
        <v>4</v>
      </c>
      <c r="N45">
        <v>500</v>
      </c>
      <c r="O45">
        <v>2000</v>
      </c>
      <c r="P45">
        <v>30</v>
      </c>
      <c r="Q45">
        <v>40</v>
      </c>
    </row>
    <row r="46" spans="1:17">
      <c r="A46">
        <v>739</v>
      </c>
      <c r="B46">
        <v>29</v>
      </c>
      <c r="C46">
        <v>11</v>
      </c>
      <c r="D46">
        <v>2023</v>
      </c>
      <c r="E46" t="s">
        <v>34</v>
      </c>
      <c r="F46" t="s">
        <v>26</v>
      </c>
      <c r="G46" s="19">
        <v>45259</v>
      </c>
      <c r="H46" t="s">
        <v>87</v>
      </c>
      <c r="I46" t="s">
        <v>4</v>
      </c>
      <c r="J46" t="s">
        <v>28</v>
      </c>
      <c r="K46">
        <v>36</v>
      </c>
      <c r="L46" t="s">
        <v>6</v>
      </c>
      <c r="M46">
        <v>1</v>
      </c>
      <c r="N46">
        <v>25</v>
      </c>
      <c r="O46">
        <v>25</v>
      </c>
      <c r="P46">
        <v>0.375</v>
      </c>
      <c r="Q46">
        <v>0.5</v>
      </c>
    </row>
    <row r="47" spans="1:17">
      <c r="A47">
        <v>733</v>
      </c>
      <c r="B47">
        <v>29</v>
      </c>
      <c r="C47">
        <v>8</v>
      </c>
      <c r="D47">
        <v>2023</v>
      </c>
      <c r="E47" t="s">
        <v>29</v>
      </c>
      <c r="F47" t="s">
        <v>62</v>
      </c>
      <c r="G47" s="19">
        <v>45167</v>
      </c>
      <c r="H47" t="s">
        <v>88</v>
      </c>
      <c r="I47" t="s">
        <v>4</v>
      </c>
      <c r="J47" t="s">
        <v>28</v>
      </c>
      <c r="K47">
        <v>34</v>
      </c>
      <c r="L47" t="s">
        <v>6</v>
      </c>
      <c r="M47">
        <v>1</v>
      </c>
      <c r="N47">
        <v>30</v>
      </c>
      <c r="O47">
        <v>30</v>
      </c>
      <c r="P47">
        <v>0.44999999999999996</v>
      </c>
      <c r="Q47">
        <v>0.6</v>
      </c>
    </row>
    <row r="48" spans="1:17">
      <c r="A48">
        <v>715</v>
      </c>
      <c r="B48">
        <v>26</v>
      </c>
      <c r="C48">
        <v>11</v>
      </c>
      <c r="D48">
        <v>2023</v>
      </c>
      <c r="E48" t="s">
        <v>69</v>
      </c>
      <c r="F48" t="s">
        <v>26</v>
      </c>
      <c r="G48" s="19">
        <v>45256</v>
      </c>
      <c r="H48" t="s">
        <v>89</v>
      </c>
      <c r="I48" t="s">
        <v>3</v>
      </c>
      <c r="J48" t="s">
        <v>28</v>
      </c>
      <c r="K48">
        <v>42</v>
      </c>
      <c r="L48" t="s">
        <v>6</v>
      </c>
      <c r="M48">
        <v>4</v>
      </c>
      <c r="N48">
        <v>25</v>
      </c>
      <c r="O48">
        <v>100</v>
      </c>
      <c r="P48">
        <v>1.5</v>
      </c>
      <c r="Q48">
        <v>2</v>
      </c>
    </row>
    <row r="49" spans="1:17">
      <c r="A49">
        <v>713</v>
      </c>
      <c r="B49">
        <v>14</v>
      </c>
      <c r="C49">
        <v>1</v>
      </c>
      <c r="D49">
        <v>2023</v>
      </c>
      <c r="E49" t="s">
        <v>37</v>
      </c>
      <c r="F49" t="s">
        <v>75</v>
      </c>
      <c r="G49" s="19">
        <v>44940</v>
      </c>
      <c r="H49" t="s">
        <v>90</v>
      </c>
      <c r="I49" t="s">
        <v>4</v>
      </c>
      <c r="J49" t="s">
        <v>28</v>
      </c>
      <c r="K49">
        <v>34</v>
      </c>
      <c r="L49" t="s">
        <v>6</v>
      </c>
      <c r="M49">
        <v>3</v>
      </c>
      <c r="N49">
        <v>25</v>
      </c>
      <c r="O49">
        <v>75</v>
      </c>
      <c r="P49">
        <v>1.125</v>
      </c>
      <c r="Q49">
        <v>1.5</v>
      </c>
    </row>
    <row r="50" spans="1:17">
      <c r="A50">
        <v>47</v>
      </c>
      <c r="B50">
        <v>6</v>
      </c>
      <c r="C50">
        <v>11</v>
      </c>
      <c r="D50">
        <v>2023</v>
      </c>
      <c r="E50" t="s">
        <v>46</v>
      </c>
      <c r="F50" t="s">
        <v>26</v>
      </c>
      <c r="G50" s="19">
        <v>45236</v>
      </c>
      <c r="H50" t="s">
        <v>91</v>
      </c>
      <c r="I50" t="s">
        <v>3</v>
      </c>
      <c r="J50" t="s">
        <v>28</v>
      </c>
      <c r="K50">
        <v>40</v>
      </c>
      <c r="L50" t="s">
        <v>6</v>
      </c>
      <c r="M50">
        <v>3</v>
      </c>
      <c r="N50">
        <v>500</v>
      </c>
      <c r="O50">
        <v>1500</v>
      </c>
      <c r="P50">
        <v>22.5</v>
      </c>
      <c r="Q50">
        <v>30</v>
      </c>
    </row>
    <row r="51" spans="1:17">
      <c r="A51">
        <v>708</v>
      </c>
      <c r="B51">
        <v>14</v>
      </c>
      <c r="C51">
        <v>1</v>
      </c>
      <c r="D51">
        <v>2023</v>
      </c>
      <c r="E51" t="s">
        <v>37</v>
      </c>
      <c r="F51" t="s">
        <v>75</v>
      </c>
      <c r="G51" s="19">
        <v>44940</v>
      </c>
      <c r="H51" t="s">
        <v>92</v>
      </c>
      <c r="I51" t="s">
        <v>3</v>
      </c>
      <c r="J51" t="s">
        <v>28</v>
      </c>
      <c r="K51">
        <v>43</v>
      </c>
      <c r="L51" t="s">
        <v>6</v>
      </c>
      <c r="M51">
        <v>3</v>
      </c>
      <c r="N51">
        <v>300</v>
      </c>
      <c r="O51">
        <v>900</v>
      </c>
      <c r="P51">
        <v>13.5</v>
      </c>
      <c r="Q51">
        <v>18</v>
      </c>
    </row>
    <row r="52" spans="1:17">
      <c r="A52">
        <v>693</v>
      </c>
      <c r="B52">
        <v>23</v>
      </c>
      <c r="C52">
        <v>4</v>
      </c>
      <c r="D52">
        <v>2023</v>
      </c>
      <c r="E52" t="s">
        <v>69</v>
      </c>
      <c r="F52" t="s">
        <v>39</v>
      </c>
      <c r="G52" s="19">
        <v>45039</v>
      </c>
      <c r="H52" t="s">
        <v>93</v>
      </c>
      <c r="I52" t="s">
        <v>4</v>
      </c>
      <c r="J52" t="s">
        <v>28</v>
      </c>
      <c r="K52">
        <v>41</v>
      </c>
      <c r="L52" t="s">
        <v>6</v>
      </c>
      <c r="M52">
        <v>3</v>
      </c>
      <c r="N52">
        <v>500</v>
      </c>
      <c r="O52">
        <v>1500</v>
      </c>
      <c r="P52">
        <v>22.5</v>
      </c>
      <c r="Q52">
        <v>30</v>
      </c>
    </row>
    <row r="53" spans="1:17">
      <c r="A53">
        <v>683</v>
      </c>
      <c r="B53">
        <v>4</v>
      </c>
      <c r="C53">
        <v>1</v>
      </c>
      <c r="D53">
        <v>2023</v>
      </c>
      <c r="E53" t="s">
        <v>34</v>
      </c>
      <c r="F53" t="s">
        <v>75</v>
      </c>
      <c r="G53" s="19">
        <v>44930</v>
      </c>
      <c r="H53" t="s">
        <v>94</v>
      </c>
      <c r="I53" t="s">
        <v>4</v>
      </c>
      <c r="J53" t="s">
        <v>28</v>
      </c>
      <c r="K53">
        <v>38</v>
      </c>
      <c r="L53" t="s">
        <v>6</v>
      </c>
      <c r="M53">
        <v>2</v>
      </c>
      <c r="N53">
        <v>500</v>
      </c>
      <c r="O53">
        <v>1000</v>
      </c>
      <c r="P53">
        <v>15</v>
      </c>
      <c r="Q53">
        <v>20</v>
      </c>
    </row>
    <row r="54" spans="1:17">
      <c r="A54">
        <v>682</v>
      </c>
      <c r="B54">
        <v>2</v>
      </c>
      <c r="C54">
        <v>9</v>
      </c>
      <c r="D54">
        <v>2023</v>
      </c>
      <c r="E54" t="s">
        <v>37</v>
      </c>
      <c r="F54" t="s">
        <v>48</v>
      </c>
      <c r="G54" s="19">
        <v>45171</v>
      </c>
      <c r="H54" t="s">
        <v>95</v>
      </c>
      <c r="I54" t="s">
        <v>4</v>
      </c>
      <c r="J54" t="s">
        <v>28</v>
      </c>
      <c r="K54">
        <v>46</v>
      </c>
      <c r="L54" t="s">
        <v>6</v>
      </c>
      <c r="M54">
        <v>4</v>
      </c>
      <c r="N54">
        <v>300</v>
      </c>
      <c r="O54">
        <v>1200</v>
      </c>
      <c r="P54">
        <v>18</v>
      </c>
      <c r="Q54">
        <v>24</v>
      </c>
    </row>
    <row r="55" spans="1:17">
      <c r="A55">
        <v>52</v>
      </c>
      <c r="B55">
        <v>5</v>
      </c>
      <c r="C55">
        <v>3</v>
      </c>
      <c r="D55">
        <v>2023</v>
      </c>
      <c r="E55" t="s">
        <v>69</v>
      </c>
      <c r="F55" t="s">
        <v>71</v>
      </c>
      <c r="G55" s="19">
        <v>44990</v>
      </c>
      <c r="H55" t="s">
        <v>96</v>
      </c>
      <c r="I55" t="s">
        <v>3</v>
      </c>
      <c r="J55" t="s">
        <v>28</v>
      </c>
      <c r="K55">
        <v>36</v>
      </c>
      <c r="L55" t="s">
        <v>6</v>
      </c>
      <c r="M55">
        <v>1</v>
      </c>
      <c r="N55">
        <v>300</v>
      </c>
      <c r="O55">
        <v>300</v>
      </c>
      <c r="P55">
        <v>4.5</v>
      </c>
      <c r="Q55">
        <v>6</v>
      </c>
    </row>
    <row r="56" spans="1:17">
      <c r="A56">
        <v>672</v>
      </c>
      <c r="B56">
        <v>1</v>
      </c>
      <c r="C56">
        <v>8</v>
      </c>
      <c r="D56">
        <v>2023</v>
      </c>
      <c r="E56" t="s">
        <v>29</v>
      </c>
      <c r="F56" t="s">
        <v>62</v>
      </c>
      <c r="G56" s="19">
        <v>45139</v>
      </c>
      <c r="H56" t="s">
        <v>97</v>
      </c>
      <c r="I56" t="s">
        <v>3</v>
      </c>
      <c r="J56" t="s">
        <v>28</v>
      </c>
      <c r="K56">
        <v>34</v>
      </c>
      <c r="L56" t="s">
        <v>6</v>
      </c>
      <c r="M56">
        <v>2</v>
      </c>
      <c r="N56">
        <v>50</v>
      </c>
      <c r="O56">
        <v>100</v>
      </c>
      <c r="P56">
        <v>1.5</v>
      </c>
      <c r="Q56">
        <v>2</v>
      </c>
    </row>
    <row r="57" spans="1:17">
      <c r="A57">
        <v>662</v>
      </c>
      <c r="B57">
        <v>22</v>
      </c>
      <c r="C57">
        <v>12</v>
      </c>
      <c r="D57">
        <v>2023</v>
      </c>
      <c r="E57" t="s">
        <v>25</v>
      </c>
      <c r="F57" t="s">
        <v>30</v>
      </c>
      <c r="G57" s="19">
        <v>45282</v>
      </c>
      <c r="H57" t="s">
        <v>98</v>
      </c>
      <c r="I57" t="s">
        <v>4</v>
      </c>
      <c r="J57" t="s">
        <v>28</v>
      </c>
      <c r="K57">
        <v>48</v>
      </c>
      <c r="L57" t="s">
        <v>6</v>
      </c>
      <c r="M57">
        <v>2</v>
      </c>
      <c r="N57">
        <v>500</v>
      </c>
      <c r="O57">
        <v>1000</v>
      </c>
      <c r="P57">
        <v>15</v>
      </c>
      <c r="Q57">
        <v>20</v>
      </c>
    </row>
    <row r="58" spans="1:17">
      <c r="A58">
        <v>55</v>
      </c>
      <c r="B58">
        <v>10</v>
      </c>
      <c r="C58">
        <v>10</v>
      </c>
      <c r="D58">
        <v>2023</v>
      </c>
      <c r="E58" t="s">
        <v>29</v>
      </c>
      <c r="F58" t="s">
        <v>32</v>
      </c>
      <c r="G58" s="19">
        <v>45209</v>
      </c>
      <c r="H58" t="s">
        <v>99</v>
      </c>
      <c r="I58" t="s">
        <v>4</v>
      </c>
      <c r="J58" t="s">
        <v>28</v>
      </c>
      <c r="K58">
        <v>31</v>
      </c>
      <c r="L58" t="s">
        <v>6</v>
      </c>
      <c r="M58">
        <v>4</v>
      </c>
      <c r="N58">
        <v>30</v>
      </c>
      <c r="O58">
        <v>120</v>
      </c>
      <c r="P58">
        <v>1.7999999999999998</v>
      </c>
      <c r="Q58">
        <v>2.4</v>
      </c>
    </row>
    <row r="59" spans="1:17">
      <c r="A59">
        <v>660</v>
      </c>
      <c r="B59">
        <v>29</v>
      </c>
      <c r="C59">
        <v>4</v>
      </c>
      <c r="D59">
        <v>2023</v>
      </c>
      <c r="E59" t="s">
        <v>37</v>
      </c>
      <c r="F59" t="s">
        <v>39</v>
      </c>
      <c r="G59" s="19">
        <v>45045</v>
      </c>
      <c r="H59" t="s">
        <v>100</v>
      </c>
      <c r="I59" t="s">
        <v>3</v>
      </c>
      <c r="J59" t="s">
        <v>28</v>
      </c>
      <c r="K59">
        <v>38</v>
      </c>
      <c r="L59" t="s">
        <v>6</v>
      </c>
      <c r="M59">
        <v>2</v>
      </c>
      <c r="N59">
        <v>500</v>
      </c>
      <c r="O59">
        <v>1000</v>
      </c>
      <c r="P59">
        <v>15</v>
      </c>
      <c r="Q59">
        <v>20</v>
      </c>
    </row>
    <row r="60" spans="1:17">
      <c r="A60">
        <v>652</v>
      </c>
      <c r="B60">
        <v>1</v>
      </c>
      <c r="C60">
        <v>5</v>
      </c>
      <c r="D60">
        <v>2023</v>
      </c>
      <c r="E60" t="s">
        <v>46</v>
      </c>
      <c r="F60" t="s">
        <v>35</v>
      </c>
      <c r="G60" s="19">
        <v>45047</v>
      </c>
      <c r="H60" t="s">
        <v>101</v>
      </c>
      <c r="I60" t="s">
        <v>3</v>
      </c>
      <c r="J60" t="s">
        <v>28</v>
      </c>
      <c r="K60">
        <v>34</v>
      </c>
      <c r="L60" t="s">
        <v>6</v>
      </c>
      <c r="M60">
        <v>2</v>
      </c>
      <c r="N60">
        <v>50</v>
      </c>
      <c r="O60">
        <v>100</v>
      </c>
      <c r="P60">
        <v>1.5</v>
      </c>
      <c r="Q60">
        <v>2</v>
      </c>
    </row>
    <row r="61" spans="1:17">
      <c r="A61">
        <v>633</v>
      </c>
      <c r="B61">
        <v>7</v>
      </c>
      <c r="C61">
        <v>8</v>
      </c>
      <c r="D61">
        <v>2023</v>
      </c>
      <c r="E61" t="s">
        <v>46</v>
      </c>
      <c r="F61" t="s">
        <v>62</v>
      </c>
      <c r="G61" s="19">
        <v>45145</v>
      </c>
      <c r="H61" t="s">
        <v>102</v>
      </c>
      <c r="I61" t="s">
        <v>4</v>
      </c>
      <c r="J61" t="s">
        <v>28</v>
      </c>
      <c r="K61">
        <v>39</v>
      </c>
      <c r="L61" t="s">
        <v>6</v>
      </c>
      <c r="M61">
        <v>4</v>
      </c>
      <c r="N61">
        <v>30</v>
      </c>
      <c r="O61">
        <v>120</v>
      </c>
      <c r="P61">
        <v>1.7999999999999998</v>
      </c>
      <c r="Q61">
        <v>2.4</v>
      </c>
    </row>
    <row r="62" spans="1:17">
      <c r="A62">
        <v>624</v>
      </c>
      <c r="B62">
        <v>26</v>
      </c>
      <c r="C62">
        <v>8</v>
      </c>
      <c r="D62">
        <v>2023</v>
      </c>
      <c r="E62" t="s">
        <v>37</v>
      </c>
      <c r="F62" t="s">
        <v>62</v>
      </c>
      <c r="G62" s="19">
        <v>45164</v>
      </c>
      <c r="H62" t="s">
        <v>103</v>
      </c>
      <c r="I62" t="s">
        <v>3</v>
      </c>
      <c r="J62" t="s">
        <v>28</v>
      </c>
      <c r="K62">
        <v>34</v>
      </c>
      <c r="L62" t="s">
        <v>6</v>
      </c>
      <c r="M62">
        <v>3</v>
      </c>
      <c r="N62">
        <v>300</v>
      </c>
      <c r="O62">
        <v>900</v>
      </c>
      <c r="P62">
        <v>13.5</v>
      </c>
      <c r="Q62">
        <v>18</v>
      </c>
    </row>
    <row r="63" spans="1:17">
      <c r="A63">
        <v>60</v>
      </c>
      <c r="B63">
        <v>23</v>
      </c>
      <c r="C63">
        <v>10</v>
      </c>
      <c r="D63">
        <v>2023</v>
      </c>
      <c r="E63" t="s">
        <v>46</v>
      </c>
      <c r="F63" t="s">
        <v>32</v>
      </c>
      <c r="G63" s="19">
        <v>45222</v>
      </c>
      <c r="H63" t="s">
        <v>104</v>
      </c>
      <c r="I63" t="s">
        <v>4</v>
      </c>
      <c r="J63" t="s">
        <v>28</v>
      </c>
      <c r="K63">
        <v>30</v>
      </c>
      <c r="L63" t="s">
        <v>6</v>
      </c>
      <c r="M63">
        <v>3</v>
      </c>
      <c r="N63">
        <v>50</v>
      </c>
      <c r="O63">
        <v>150</v>
      </c>
      <c r="P63">
        <v>2.25</v>
      </c>
      <c r="Q63">
        <v>3</v>
      </c>
    </row>
    <row r="64" spans="1:17">
      <c r="A64">
        <v>622</v>
      </c>
      <c r="B64">
        <v>22</v>
      </c>
      <c r="C64">
        <v>8</v>
      </c>
      <c r="D64">
        <v>2023</v>
      </c>
      <c r="E64" t="s">
        <v>29</v>
      </c>
      <c r="F64" t="s">
        <v>62</v>
      </c>
      <c r="G64" s="19">
        <v>45160</v>
      </c>
      <c r="H64" t="s">
        <v>105</v>
      </c>
      <c r="I64" t="s">
        <v>3</v>
      </c>
      <c r="J64" t="s">
        <v>28</v>
      </c>
      <c r="K64">
        <v>49</v>
      </c>
      <c r="L64" t="s">
        <v>6</v>
      </c>
      <c r="M64">
        <v>3</v>
      </c>
      <c r="N64">
        <v>25</v>
      </c>
      <c r="O64">
        <v>75</v>
      </c>
      <c r="P64">
        <v>1.125</v>
      </c>
      <c r="Q64">
        <v>1.5</v>
      </c>
    </row>
    <row r="65" spans="1:17">
      <c r="A65">
        <v>621</v>
      </c>
      <c r="B65">
        <v>4</v>
      </c>
      <c r="C65">
        <v>3</v>
      </c>
      <c r="D65">
        <v>2023</v>
      </c>
      <c r="E65" t="s">
        <v>37</v>
      </c>
      <c r="F65" t="s">
        <v>71</v>
      </c>
      <c r="G65" s="19">
        <v>44989</v>
      </c>
      <c r="H65" t="s">
        <v>106</v>
      </c>
      <c r="I65" t="s">
        <v>3</v>
      </c>
      <c r="J65" t="s">
        <v>28</v>
      </c>
      <c r="K65">
        <v>40</v>
      </c>
      <c r="L65" t="s">
        <v>6</v>
      </c>
      <c r="M65">
        <v>2</v>
      </c>
      <c r="N65">
        <v>500</v>
      </c>
      <c r="O65">
        <v>1000</v>
      </c>
      <c r="P65">
        <v>15</v>
      </c>
      <c r="Q65">
        <v>20</v>
      </c>
    </row>
    <row r="66" spans="1:17">
      <c r="A66">
        <v>614</v>
      </c>
      <c r="B66">
        <v>1</v>
      </c>
      <c r="C66">
        <v>4</v>
      </c>
      <c r="D66">
        <v>2023</v>
      </c>
      <c r="E66" t="s">
        <v>37</v>
      </c>
      <c r="F66" t="s">
        <v>39</v>
      </c>
      <c r="G66" s="19">
        <v>45017</v>
      </c>
      <c r="H66" t="s">
        <v>107</v>
      </c>
      <c r="I66" t="s">
        <v>3</v>
      </c>
      <c r="J66" t="s">
        <v>28</v>
      </c>
      <c r="K66">
        <v>39</v>
      </c>
      <c r="L66" t="s">
        <v>6</v>
      </c>
      <c r="M66">
        <v>4</v>
      </c>
      <c r="N66">
        <v>300</v>
      </c>
      <c r="O66">
        <v>1200</v>
      </c>
      <c r="P66">
        <v>18</v>
      </c>
      <c r="Q66">
        <v>24</v>
      </c>
    </row>
    <row r="67" spans="1:17">
      <c r="A67">
        <v>598</v>
      </c>
      <c r="B67">
        <v>1</v>
      </c>
      <c r="C67">
        <v>8</v>
      </c>
      <c r="D67">
        <v>2023</v>
      </c>
      <c r="E67" t="s">
        <v>29</v>
      </c>
      <c r="F67" t="s">
        <v>62</v>
      </c>
      <c r="G67" s="19">
        <v>45139</v>
      </c>
      <c r="H67" t="s">
        <v>108</v>
      </c>
      <c r="I67" t="s">
        <v>4</v>
      </c>
      <c r="J67" t="s">
        <v>28</v>
      </c>
      <c r="K67">
        <v>37</v>
      </c>
      <c r="L67" t="s">
        <v>6</v>
      </c>
      <c r="M67">
        <v>4</v>
      </c>
      <c r="N67">
        <v>30</v>
      </c>
      <c r="O67">
        <v>120</v>
      </c>
      <c r="P67">
        <v>1.7999999999999998</v>
      </c>
      <c r="Q67">
        <v>2.4</v>
      </c>
    </row>
    <row r="68" spans="1:17">
      <c r="A68">
        <v>592</v>
      </c>
      <c r="B68">
        <v>24</v>
      </c>
      <c r="C68">
        <v>1</v>
      </c>
      <c r="D68">
        <v>2023</v>
      </c>
      <c r="E68" t="s">
        <v>29</v>
      </c>
      <c r="F68" t="s">
        <v>75</v>
      </c>
      <c r="G68" s="19">
        <v>44950</v>
      </c>
      <c r="H68" t="s">
        <v>109</v>
      </c>
      <c r="I68" t="s">
        <v>3</v>
      </c>
      <c r="J68" t="s">
        <v>28</v>
      </c>
      <c r="K68">
        <v>46</v>
      </c>
      <c r="L68" t="s">
        <v>6</v>
      </c>
      <c r="M68">
        <v>4</v>
      </c>
      <c r="N68">
        <v>500</v>
      </c>
      <c r="O68">
        <v>2000</v>
      </c>
      <c r="P68">
        <v>30</v>
      </c>
      <c r="Q68">
        <v>40</v>
      </c>
    </row>
    <row r="69" spans="1:17">
      <c r="A69">
        <v>589</v>
      </c>
      <c r="B69">
        <v>12</v>
      </c>
      <c r="C69">
        <v>4</v>
      </c>
      <c r="D69">
        <v>2023</v>
      </c>
      <c r="E69" t="s">
        <v>34</v>
      </c>
      <c r="F69" t="s">
        <v>39</v>
      </c>
      <c r="G69" s="19">
        <v>45028</v>
      </c>
      <c r="H69" t="s">
        <v>110</v>
      </c>
      <c r="I69" t="s">
        <v>3</v>
      </c>
      <c r="J69" t="s">
        <v>28</v>
      </c>
      <c r="K69">
        <v>36</v>
      </c>
      <c r="L69" t="s">
        <v>6</v>
      </c>
      <c r="M69">
        <v>2</v>
      </c>
      <c r="N69">
        <v>500</v>
      </c>
      <c r="O69">
        <v>1000</v>
      </c>
      <c r="P69">
        <v>15</v>
      </c>
      <c r="Q69">
        <v>20</v>
      </c>
    </row>
    <row r="70" spans="1:17">
      <c r="A70">
        <v>67</v>
      </c>
      <c r="B70">
        <v>29</v>
      </c>
      <c r="C70">
        <v>5</v>
      </c>
      <c r="D70">
        <v>2023</v>
      </c>
      <c r="E70" t="s">
        <v>46</v>
      </c>
      <c r="F70" t="s">
        <v>35</v>
      </c>
      <c r="G70" s="19">
        <v>45075</v>
      </c>
      <c r="H70" t="s">
        <v>111</v>
      </c>
      <c r="I70" t="s">
        <v>3</v>
      </c>
      <c r="J70" t="s">
        <v>28</v>
      </c>
      <c r="K70">
        <v>48</v>
      </c>
      <c r="L70" t="s">
        <v>6</v>
      </c>
      <c r="M70">
        <v>4</v>
      </c>
      <c r="N70">
        <v>300</v>
      </c>
      <c r="O70">
        <v>1200</v>
      </c>
      <c r="P70">
        <v>18</v>
      </c>
      <c r="Q70">
        <v>24</v>
      </c>
    </row>
    <row r="71" spans="1:17">
      <c r="A71">
        <v>587</v>
      </c>
      <c r="B71">
        <v>8</v>
      </c>
      <c r="C71">
        <v>6</v>
      </c>
      <c r="D71">
        <v>2023</v>
      </c>
      <c r="E71" t="s">
        <v>44</v>
      </c>
      <c r="F71" t="s">
        <v>59</v>
      </c>
      <c r="G71" s="19">
        <v>45085</v>
      </c>
      <c r="H71" t="s">
        <v>112</v>
      </c>
      <c r="I71" t="s">
        <v>3</v>
      </c>
      <c r="J71" t="s">
        <v>28</v>
      </c>
      <c r="K71">
        <v>40</v>
      </c>
      <c r="L71" t="s">
        <v>6</v>
      </c>
      <c r="M71">
        <v>4</v>
      </c>
      <c r="N71">
        <v>300</v>
      </c>
      <c r="O71">
        <v>1200</v>
      </c>
      <c r="P71">
        <v>18</v>
      </c>
      <c r="Q71">
        <v>24</v>
      </c>
    </row>
    <row r="72" spans="1:17">
      <c r="A72">
        <v>581</v>
      </c>
      <c r="B72">
        <v>21</v>
      </c>
      <c r="C72">
        <v>11</v>
      </c>
      <c r="D72">
        <v>2023</v>
      </c>
      <c r="E72" t="s">
        <v>29</v>
      </c>
      <c r="F72" t="s">
        <v>26</v>
      </c>
      <c r="G72" s="19">
        <v>45251</v>
      </c>
      <c r="H72" t="s">
        <v>113</v>
      </c>
      <c r="I72" t="s">
        <v>3</v>
      </c>
      <c r="J72" t="s">
        <v>28</v>
      </c>
      <c r="K72">
        <v>48</v>
      </c>
      <c r="L72" t="s">
        <v>6</v>
      </c>
      <c r="M72">
        <v>2</v>
      </c>
      <c r="N72">
        <v>30</v>
      </c>
      <c r="O72">
        <v>60</v>
      </c>
      <c r="P72">
        <v>0.89999999999999991</v>
      </c>
      <c r="Q72">
        <v>1.2</v>
      </c>
    </row>
    <row r="73" spans="1:17">
      <c r="A73">
        <v>576</v>
      </c>
      <c r="B73">
        <v>4</v>
      </c>
      <c r="C73">
        <v>12</v>
      </c>
      <c r="D73">
        <v>2023</v>
      </c>
      <c r="E73" t="s">
        <v>46</v>
      </c>
      <c r="F73" t="s">
        <v>30</v>
      </c>
      <c r="G73" s="19">
        <v>45264</v>
      </c>
      <c r="H73" t="s">
        <v>114</v>
      </c>
      <c r="I73" t="s">
        <v>3</v>
      </c>
      <c r="J73" t="s">
        <v>28</v>
      </c>
      <c r="K73">
        <v>33</v>
      </c>
      <c r="L73" t="s">
        <v>6</v>
      </c>
      <c r="M73">
        <v>3</v>
      </c>
      <c r="N73">
        <v>50</v>
      </c>
      <c r="O73">
        <v>150</v>
      </c>
      <c r="P73">
        <v>2.25</v>
      </c>
      <c r="Q73">
        <v>3</v>
      </c>
    </row>
    <row r="74" spans="1:17">
      <c r="A74">
        <v>573</v>
      </c>
      <c r="B74">
        <v>19</v>
      </c>
      <c r="C74">
        <v>9</v>
      </c>
      <c r="D74">
        <v>2023</v>
      </c>
      <c r="E74" t="s">
        <v>29</v>
      </c>
      <c r="F74" t="s">
        <v>48</v>
      </c>
      <c r="G74" s="19">
        <v>45188</v>
      </c>
      <c r="H74" t="s">
        <v>115</v>
      </c>
      <c r="I74" t="s">
        <v>4</v>
      </c>
      <c r="J74" t="s">
        <v>28</v>
      </c>
      <c r="K74">
        <v>49</v>
      </c>
      <c r="L74" t="s">
        <v>6</v>
      </c>
      <c r="M74">
        <v>2</v>
      </c>
      <c r="N74">
        <v>30</v>
      </c>
      <c r="O74">
        <v>60</v>
      </c>
      <c r="P74">
        <v>0.89999999999999991</v>
      </c>
      <c r="Q74">
        <v>1.2</v>
      </c>
    </row>
    <row r="75" spans="1:17">
      <c r="A75">
        <v>565</v>
      </c>
      <c r="B75">
        <v>7</v>
      </c>
      <c r="C75">
        <v>11</v>
      </c>
      <c r="D75">
        <v>2023</v>
      </c>
      <c r="E75" t="s">
        <v>29</v>
      </c>
      <c r="F75" t="s">
        <v>26</v>
      </c>
      <c r="G75" s="19">
        <v>45237</v>
      </c>
      <c r="H75" t="s">
        <v>116</v>
      </c>
      <c r="I75" t="s">
        <v>3</v>
      </c>
      <c r="J75" t="s">
        <v>28</v>
      </c>
      <c r="K75">
        <v>45</v>
      </c>
      <c r="L75" t="s">
        <v>6</v>
      </c>
      <c r="M75">
        <v>2</v>
      </c>
      <c r="N75">
        <v>30</v>
      </c>
      <c r="O75">
        <v>60</v>
      </c>
      <c r="P75">
        <v>0.89999999999999991</v>
      </c>
      <c r="Q75">
        <v>1.2</v>
      </c>
    </row>
    <row r="76" spans="1:17">
      <c r="A76">
        <v>554</v>
      </c>
      <c r="B76">
        <v>12</v>
      </c>
      <c r="C76">
        <v>11</v>
      </c>
      <c r="D76">
        <v>2023</v>
      </c>
      <c r="E76" t="s">
        <v>69</v>
      </c>
      <c r="F76" t="s">
        <v>26</v>
      </c>
      <c r="G76" s="19">
        <v>45242</v>
      </c>
      <c r="H76" t="s">
        <v>117</v>
      </c>
      <c r="I76" t="s">
        <v>3</v>
      </c>
      <c r="J76" t="s">
        <v>28</v>
      </c>
      <c r="K76">
        <v>46</v>
      </c>
      <c r="L76" t="s">
        <v>6</v>
      </c>
      <c r="M76">
        <v>3</v>
      </c>
      <c r="N76">
        <v>50</v>
      </c>
      <c r="O76">
        <v>150</v>
      </c>
      <c r="P76">
        <v>2.25</v>
      </c>
      <c r="Q76">
        <v>3</v>
      </c>
    </row>
    <row r="77" spans="1:17">
      <c r="A77">
        <v>543</v>
      </c>
      <c r="B77">
        <v>26</v>
      </c>
      <c r="C77">
        <v>7</v>
      </c>
      <c r="D77">
        <v>2023</v>
      </c>
      <c r="E77" t="s">
        <v>34</v>
      </c>
      <c r="F77" t="s">
        <v>51</v>
      </c>
      <c r="G77" s="19">
        <v>45133</v>
      </c>
      <c r="H77" t="s">
        <v>118</v>
      </c>
      <c r="I77" t="s">
        <v>4</v>
      </c>
      <c r="J77" t="s">
        <v>28</v>
      </c>
      <c r="K77">
        <v>49</v>
      </c>
      <c r="L77" t="s">
        <v>6</v>
      </c>
      <c r="M77">
        <v>2</v>
      </c>
      <c r="N77">
        <v>300</v>
      </c>
      <c r="O77">
        <v>600</v>
      </c>
      <c r="P77">
        <v>9</v>
      </c>
      <c r="Q77">
        <v>12</v>
      </c>
    </row>
    <row r="78" spans="1:17">
      <c r="A78">
        <v>535</v>
      </c>
      <c r="B78">
        <v>6</v>
      </c>
      <c r="C78">
        <v>12</v>
      </c>
      <c r="D78">
        <v>2023</v>
      </c>
      <c r="E78" t="s">
        <v>34</v>
      </c>
      <c r="F78" t="s">
        <v>30</v>
      </c>
      <c r="G78" s="19">
        <v>45266</v>
      </c>
      <c r="H78" t="s">
        <v>119</v>
      </c>
      <c r="I78" t="s">
        <v>4</v>
      </c>
      <c r="J78" t="s">
        <v>28</v>
      </c>
      <c r="K78">
        <v>47</v>
      </c>
      <c r="L78" t="s">
        <v>6</v>
      </c>
      <c r="M78">
        <v>3</v>
      </c>
      <c r="N78">
        <v>30</v>
      </c>
      <c r="O78">
        <v>90</v>
      </c>
      <c r="P78">
        <v>1.3499999999999999</v>
      </c>
      <c r="Q78">
        <v>1.8</v>
      </c>
    </row>
    <row r="79" spans="1:17">
      <c r="A79">
        <v>525</v>
      </c>
      <c r="B79">
        <v>18</v>
      </c>
      <c r="C79">
        <v>12</v>
      </c>
      <c r="D79">
        <v>2023</v>
      </c>
      <c r="E79" t="s">
        <v>46</v>
      </c>
      <c r="F79" t="s">
        <v>30</v>
      </c>
      <c r="G79" s="19">
        <v>45278</v>
      </c>
      <c r="H79" t="s">
        <v>120</v>
      </c>
      <c r="I79" t="s">
        <v>3</v>
      </c>
      <c r="J79" t="s">
        <v>28</v>
      </c>
      <c r="K79">
        <v>47</v>
      </c>
      <c r="L79" t="s">
        <v>6</v>
      </c>
      <c r="M79">
        <v>2</v>
      </c>
      <c r="N79">
        <v>25</v>
      </c>
      <c r="O79">
        <v>50</v>
      </c>
      <c r="P79">
        <v>0.75</v>
      </c>
      <c r="Q79">
        <v>1</v>
      </c>
    </row>
    <row r="80" spans="1:17">
      <c r="A80">
        <v>524</v>
      </c>
      <c r="B80">
        <v>3</v>
      </c>
      <c r="C80">
        <v>10</v>
      </c>
      <c r="D80">
        <v>2023</v>
      </c>
      <c r="E80" t="s">
        <v>29</v>
      </c>
      <c r="F80" t="s">
        <v>32</v>
      </c>
      <c r="G80" s="19">
        <v>45202</v>
      </c>
      <c r="H80" t="s">
        <v>121</v>
      </c>
      <c r="I80" t="s">
        <v>4</v>
      </c>
      <c r="J80" t="s">
        <v>28</v>
      </c>
      <c r="K80">
        <v>46</v>
      </c>
      <c r="L80" t="s">
        <v>6</v>
      </c>
      <c r="M80">
        <v>4</v>
      </c>
      <c r="N80">
        <v>300</v>
      </c>
      <c r="O80">
        <v>1200</v>
      </c>
      <c r="P80">
        <v>18</v>
      </c>
      <c r="Q80">
        <v>24</v>
      </c>
    </row>
    <row r="81" spans="1:17">
      <c r="A81">
        <v>522</v>
      </c>
      <c r="B81">
        <v>1</v>
      </c>
      <c r="C81">
        <v>1</v>
      </c>
      <c r="D81">
        <v>2023</v>
      </c>
      <c r="E81" t="s">
        <v>69</v>
      </c>
      <c r="F81" t="s">
        <v>75</v>
      </c>
      <c r="G81" s="19">
        <v>44927</v>
      </c>
      <c r="H81" t="s">
        <v>122</v>
      </c>
      <c r="I81" t="s">
        <v>4</v>
      </c>
      <c r="J81" t="s">
        <v>28</v>
      </c>
      <c r="K81">
        <v>46</v>
      </c>
      <c r="L81" t="s">
        <v>6</v>
      </c>
      <c r="M81">
        <v>3</v>
      </c>
      <c r="N81">
        <v>500</v>
      </c>
      <c r="O81">
        <v>1500</v>
      </c>
      <c r="P81">
        <v>22.5</v>
      </c>
      <c r="Q81">
        <v>30</v>
      </c>
    </row>
    <row r="82" spans="1:17">
      <c r="A82">
        <v>79</v>
      </c>
      <c r="B82">
        <v>18</v>
      </c>
      <c r="C82">
        <v>4</v>
      </c>
      <c r="D82">
        <v>2023</v>
      </c>
      <c r="E82" t="s">
        <v>29</v>
      </c>
      <c r="F82" t="s">
        <v>39</v>
      </c>
      <c r="G82" s="19">
        <v>45034</v>
      </c>
      <c r="H82" t="s">
        <v>123</v>
      </c>
      <c r="I82" t="s">
        <v>4</v>
      </c>
      <c r="J82" t="s">
        <v>28</v>
      </c>
      <c r="K82">
        <v>34</v>
      </c>
      <c r="L82" t="s">
        <v>6</v>
      </c>
      <c r="M82">
        <v>1</v>
      </c>
      <c r="N82">
        <v>300</v>
      </c>
      <c r="O82">
        <v>300</v>
      </c>
      <c r="P82">
        <v>4.5</v>
      </c>
      <c r="Q82">
        <v>6</v>
      </c>
    </row>
    <row r="83" spans="1:17">
      <c r="A83">
        <v>516</v>
      </c>
      <c r="B83">
        <v>23</v>
      </c>
      <c r="C83">
        <v>10</v>
      </c>
      <c r="D83">
        <v>2023</v>
      </c>
      <c r="E83" t="s">
        <v>46</v>
      </c>
      <c r="F83" t="s">
        <v>32</v>
      </c>
      <c r="G83" s="19">
        <v>45222</v>
      </c>
      <c r="H83" t="s">
        <v>124</v>
      </c>
      <c r="I83" t="s">
        <v>4</v>
      </c>
      <c r="J83" t="s">
        <v>28</v>
      </c>
      <c r="K83">
        <v>30</v>
      </c>
      <c r="L83" t="s">
        <v>6</v>
      </c>
      <c r="M83">
        <v>4</v>
      </c>
      <c r="N83">
        <v>25</v>
      </c>
      <c r="O83">
        <v>100</v>
      </c>
      <c r="P83">
        <v>1.5</v>
      </c>
      <c r="Q83">
        <v>2</v>
      </c>
    </row>
    <row r="84" spans="1:17">
      <c r="A84">
        <v>511</v>
      </c>
      <c r="B84">
        <v>12</v>
      </c>
      <c r="C84">
        <v>8</v>
      </c>
      <c r="D84">
        <v>2023</v>
      </c>
      <c r="E84" t="s">
        <v>37</v>
      </c>
      <c r="F84" t="s">
        <v>62</v>
      </c>
      <c r="G84" s="19">
        <v>45150</v>
      </c>
      <c r="H84" t="s">
        <v>125</v>
      </c>
      <c r="I84" t="s">
        <v>4</v>
      </c>
      <c r="J84" t="s">
        <v>28</v>
      </c>
      <c r="K84">
        <v>45</v>
      </c>
      <c r="L84" t="s">
        <v>6</v>
      </c>
      <c r="M84">
        <v>2</v>
      </c>
      <c r="N84">
        <v>50</v>
      </c>
      <c r="O84">
        <v>100</v>
      </c>
      <c r="P84">
        <v>1.5</v>
      </c>
      <c r="Q84">
        <v>2</v>
      </c>
    </row>
    <row r="85" spans="1:17">
      <c r="A85">
        <v>82</v>
      </c>
      <c r="B85">
        <v>26</v>
      </c>
      <c r="C85">
        <v>12</v>
      </c>
      <c r="D85">
        <v>2023</v>
      </c>
      <c r="E85" t="s">
        <v>29</v>
      </c>
      <c r="F85" t="s">
        <v>30</v>
      </c>
      <c r="G85" s="19">
        <v>45286</v>
      </c>
      <c r="H85" t="s">
        <v>126</v>
      </c>
      <c r="I85" t="s">
        <v>3</v>
      </c>
      <c r="J85" t="s">
        <v>28</v>
      </c>
      <c r="K85">
        <v>32</v>
      </c>
      <c r="L85" t="s">
        <v>6</v>
      </c>
      <c r="M85">
        <v>4</v>
      </c>
      <c r="N85">
        <v>50</v>
      </c>
      <c r="O85">
        <v>200</v>
      </c>
      <c r="P85">
        <v>3</v>
      </c>
      <c r="Q85">
        <v>4</v>
      </c>
    </row>
    <row r="86" spans="1:17">
      <c r="A86">
        <v>510</v>
      </c>
      <c r="B86">
        <v>10</v>
      </c>
      <c r="C86">
        <v>6</v>
      </c>
      <c r="D86">
        <v>2023</v>
      </c>
      <c r="E86" t="s">
        <v>37</v>
      </c>
      <c r="F86" t="s">
        <v>59</v>
      </c>
      <c r="G86" s="19">
        <v>45087</v>
      </c>
      <c r="H86" t="s">
        <v>127</v>
      </c>
      <c r="I86" t="s">
        <v>3</v>
      </c>
      <c r="J86" t="s">
        <v>28</v>
      </c>
      <c r="K86">
        <v>39</v>
      </c>
      <c r="L86" t="s">
        <v>6</v>
      </c>
      <c r="M86">
        <v>4</v>
      </c>
      <c r="N86">
        <v>50</v>
      </c>
      <c r="O86">
        <v>200</v>
      </c>
      <c r="P86">
        <v>3</v>
      </c>
      <c r="Q86">
        <v>4</v>
      </c>
    </row>
    <row r="87" spans="1:17">
      <c r="A87">
        <v>506</v>
      </c>
      <c r="B87">
        <v>25</v>
      </c>
      <c r="C87">
        <v>2</v>
      </c>
      <c r="D87">
        <v>2023</v>
      </c>
      <c r="E87" t="s">
        <v>37</v>
      </c>
      <c r="F87" t="s">
        <v>41</v>
      </c>
      <c r="G87" s="19">
        <v>44982</v>
      </c>
      <c r="H87" t="s">
        <v>128</v>
      </c>
      <c r="I87" t="s">
        <v>4</v>
      </c>
      <c r="J87" t="s">
        <v>28</v>
      </c>
      <c r="K87">
        <v>34</v>
      </c>
      <c r="L87" t="s">
        <v>6</v>
      </c>
      <c r="M87">
        <v>3</v>
      </c>
      <c r="N87">
        <v>500</v>
      </c>
      <c r="O87">
        <v>1500</v>
      </c>
      <c r="P87">
        <v>22.5</v>
      </c>
      <c r="Q87">
        <v>30</v>
      </c>
    </row>
    <row r="88" spans="1:17">
      <c r="A88">
        <v>504</v>
      </c>
      <c r="B88">
        <v>16</v>
      </c>
      <c r="C88">
        <v>5</v>
      </c>
      <c r="D88">
        <v>2023</v>
      </c>
      <c r="E88" t="s">
        <v>29</v>
      </c>
      <c r="F88" t="s">
        <v>35</v>
      </c>
      <c r="G88" s="19">
        <v>45062</v>
      </c>
      <c r="H88" t="s">
        <v>129</v>
      </c>
      <c r="I88" t="s">
        <v>3</v>
      </c>
      <c r="J88" t="s">
        <v>28</v>
      </c>
      <c r="K88">
        <v>38</v>
      </c>
      <c r="L88" t="s">
        <v>6</v>
      </c>
      <c r="M88">
        <v>3</v>
      </c>
      <c r="N88">
        <v>50</v>
      </c>
      <c r="O88">
        <v>150</v>
      </c>
      <c r="P88">
        <v>2.25</v>
      </c>
      <c r="Q88">
        <v>3</v>
      </c>
    </row>
    <row r="89" spans="1:17">
      <c r="A89">
        <v>503</v>
      </c>
      <c r="B89">
        <v>25</v>
      </c>
      <c r="C89">
        <v>10</v>
      </c>
      <c r="D89">
        <v>2023</v>
      </c>
      <c r="E89" t="s">
        <v>34</v>
      </c>
      <c r="F89" t="s">
        <v>32</v>
      </c>
      <c r="G89" s="19">
        <v>45224</v>
      </c>
      <c r="H89" t="s">
        <v>130</v>
      </c>
      <c r="I89" t="s">
        <v>4</v>
      </c>
      <c r="J89" t="s">
        <v>28</v>
      </c>
      <c r="K89">
        <v>45</v>
      </c>
      <c r="L89" t="s">
        <v>6</v>
      </c>
      <c r="M89">
        <v>4</v>
      </c>
      <c r="N89">
        <v>500</v>
      </c>
      <c r="O89">
        <v>2000</v>
      </c>
      <c r="P89">
        <v>30</v>
      </c>
      <c r="Q89">
        <v>40</v>
      </c>
    </row>
    <row r="90" spans="1:17">
      <c r="A90">
        <v>499</v>
      </c>
      <c r="B90">
        <v>15</v>
      </c>
      <c r="C90">
        <v>1</v>
      </c>
      <c r="D90">
        <v>2023</v>
      </c>
      <c r="E90" t="s">
        <v>69</v>
      </c>
      <c r="F90" t="s">
        <v>75</v>
      </c>
      <c r="G90" s="19">
        <v>44941</v>
      </c>
      <c r="H90" t="s">
        <v>131</v>
      </c>
      <c r="I90" t="s">
        <v>4</v>
      </c>
      <c r="J90" t="s">
        <v>28</v>
      </c>
      <c r="K90">
        <v>46</v>
      </c>
      <c r="L90" t="s">
        <v>6</v>
      </c>
      <c r="M90">
        <v>2</v>
      </c>
      <c r="N90">
        <v>30</v>
      </c>
      <c r="O90">
        <v>60</v>
      </c>
      <c r="P90">
        <v>0.89999999999999991</v>
      </c>
      <c r="Q90">
        <v>1.2</v>
      </c>
    </row>
    <row r="91" spans="1:17">
      <c r="A91">
        <v>494</v>
      </c>
      <c r="B91">
        <v>18</v>
      </c>
      <c r="C91">
        <v>9</v>
      </c>
      <c r="D91">
        <v>2023</v>
      </c>
      <c r="E91" t="s">
        <v>46</v>
      </c>
      <c r="F91" t="s">
        <v>48</v>
      </c>
      <c r="G91" s="19">
        <v>45187</v>
      </c>
      <c r="H91" t="s">
        <v>132</v>
      </c>
      <c r="I91" t="s">
        <v>3</v>
      </c>
      <c r="J91" t="s">
        <v>28</v>
      </c>
      <c r="K91">
        <v>42</v>
      </c>
      <c r="L91" t="s">
        <v>6</v>
      </c>
      <c r="M91">
        <v>4</v>
      </c>
      <c r="N91">
        <v>50</v>
      </c>
      <c r="O91">
        <v>200</v>
      </c>
      <c r="P91">
        <v>3</v>
      </c>
      <c r="Q91">
        <v>4</v>
      </c>
    </row>
    <row r="92" spans="1:17">
      <c r="A92">
        <v>493</v>
      </c>
      <c r="B92">
        <v>25</v>
      </c>
      <c r="C92">
        <v>11</v>
      </c>
      <c r="D92">
        <v>2023</v>
      </c>
      <c r="E92" t="s">
        <v>37</v>
      </c>
      <c r="F92" t="s">
        <v>26</v>
      </c>
      <c r="G92" s="19">
        <v>45255</v>
      </c>
      <c r="H92" t="s">
        <v>133</v>
      </c>
      <c r="I92" t="s">
        <v>4</v>
      </c>
      <c r="J92" t="s">
        <v>28</v>
      </c>
      <c r="K92">
        <v>41</v>
      </c>
      <c r="L92" t="s">
        <v>6</v>
      </c>
      <c r="M92">
        <v>2</v>
      </c>
      <c r="N92">
        <v>25</v>
      </c>
      <c r="O92">
        <v>50</v>
      </c>
      <c r="P92">
        <v>0.75</v>
      </c>
      <c r="Q92">
        <v>1</v>
      </c>
    </row>
    <row r="93" spans="1:17">
      <c r="A93">
        <v>480</v>
      </c>
      <c r="B93">
        <v>29</v>
      </c>
      <c r="C93">
        <v>6</v>
      </c>
      <c r="D93">
        <v>2023</v>
      </c>
      <c r="E93" t="s">
        <v>44</v>
      </c>
      <c r="F93" t="s">
        <v>59</v>
      </c>
      <c r="G93" s="19">
        <v>45106</v>
      </c>
      <c r="H93" t="s">
        <v>134</v>
      </c>
      <c r="I93" t="s">
        <v>3</v>
      </c>
      <c r="J93" t="s">
        <v>28</v>
      </c>
      <c r="K93">
        <v>42</v>
      </c>
      <c r="L93" t="s">
        <v>6</v>
      </c>
      <c r="M93">
        <v>4</v>
      </c>
      <c r="N93">
        <v>500</v>
      </c>
      <c r="O93">
        <v>2000</v>
      </c>
      <c r="P93">
        <v>30</v>
      </c>
      <c r="Q93">
        <v>40</v>
      </c>
    </row>
    <row r="94" spans="1:17">
      <c r="A94">
        <v>472</v>
      </c>
      <c r="B94">
        <v>26</v>
      </c>
      <c r="C94">
        <v>12</v>
      </c>
      <c r="D94">
        <v>2023</v>
      </c>
      <c r="E94" t="s">
        <v>29</v>
      </c>
      <c r="F94" t="s">
        <v>30</v>
      </c>
      <c r="G94" s="19">
        <v>45286</v>
      </c>
      <c r="H94" t="s">
        <v>135</v>
      </c>
      <c r="I94" t="s">
        <v>3</v>
      </c>
      <c r="J94" t="s">
        <v>28</v>
      </c>
      <c r="K94">
        <v>38</v>
      </c>
      <c r="L94" t="s">
        <v>6</v>
      </c>
      <c r="M94">
        <v>3</v>
      </c>
      <c r="N94">
        <v>300</v>
      </c>
      <c r="O94">
        <v>900</v>
      </c>
      <c r="P94">
        <v>13.5</v>
      </c>
      <c r="Q94">
        <v>18</v>
      </c>
    </row>
    <row r="95" spans="1:17">
      <c r="A95">
        <v>460</v>
      </c>
      <c r="B95">
        <v>2</v>
      </c>
      <c r="C95">
        <v>5</v>
      </c>
      <c r="D95">
        <v>2023</v>
      </c>
      <c r="E95" t="s">
        <v>29</v>
      </c>
      <c r="F95" t="s">
        <v>35</v>
      </c>
      <c r="G95" s="19">
        <v>45048</v>
      </c>
      <c r="H95" t="s">
        <v>136</v>
      </c>
      <c r="I95" t="s">
        <v>4</v>
      </c>
      <c r="J95" t="s">
        <v>28</v>
      </c>
      <c r="K95">
        <v>40</v>
      </c>
      <c r="L95" t="s">
        <v>6</v>
      </c>
      <c r="M95">
        <v>1</v>
      </c>
      <c r="N95">
        <v>50</v>
      </c>
      <c r="O95">
        <v>50</v>
      </c>
      <c r="P95">
        <v>0.75</v>
      </c>
      <c r="Q95">
        <v>1</v>
      </c>
    </row>
    <row r="96" spans="1:17">
      <c r="A96">
        <v>93</v>
      </c>
      <c r="B96">
        <v>14</v>
      </c>
      <c r="C96">
        <v>7</v>
      </c>
      <c r="D96">
        <v>2023</v>
      </c>
      <c r="E96" t="s">
        <v>25</v>
      </c>
      <c r="F96" t="s">
        <v>51</v>
      </c>
      <c r="G96" s="19">
        <v>45121</v>
      </c>
      <c r="H96" t="s">
        <v>137</v>
      </c>
      <c r="I96" t="s">
        <v>3</v>
      </c>
      <c r="J96" t="s">
        <v>28</v>
      </c>
      <c r="K96">
        <v>35</v>
      </c>
      <c r="L96" t="s">
        <v>6</v>
      </c>
      <c r="M96">
        <v>4</v>
      </c>
      <c r="N96">
        <v>500</v>
      </c>
      <c r="O96">
        <v>2000</v>
      </c>
      <c r="P96">
        <v>30</v>
      </c>
      <c r="Q96">
        <v>40</v>
      </c>
    </row>
    <row r="97" spans="1:17">
      <c r="A97">
        <v>94</v>
      </c>
      <c r="B97">
        <v>19</v>
      </c>
      <c r="C97">
        <v>5</v>
      </c>
      <c r="D97">
        <v>2023</v>
      </c>
      <c r="E97" t="s">
        <v>25</v>
      </c>
      <c r="F97" t="s">
        <v>35</v>
      </c>
      <c r="G97" s="19">
        <v>45065</v>
      </c>
      <c r="H97" t="s">
        <v>138</v>
      </c>
      <c r="I97" t="s">
        <v>3</v>
      </c>
      <c r="J97" t="s">
        <v>28</v>
      </c>
      <c r="K97">
        <v>47</v>
      </c>
      <c r="L97" t="s">
        <v>6</v>
      </c>
      <c r="M97">
        <v>2</v>
      </c>
      <c r="N97">
        <v>500</v>
      </c>
      <c r="O97">
        <v>1000</v>
      </c>
      <c r="P97">
        <v>15</v>
      </c>
      <c r="Q97">
        <v>20</v>
      </c>
    </row>
    <row r="98" spans="1:17">
      <c r="A98">
        <v>454</v>
      </c>
      <c r="B98">
        <v>22</v>
      </c>
      <c r="C98">
        <v>2</v>
      </c>
      <c r="D98">
        <v>2023</v>
      </c>
      <c r="E98" t="s">
        <v>34</v>
      </c>
      <c r="F98" t="s">
        <v>41</v>
      </c>
      <c r="G98" s="19">
        <v>44979</v>
      </c>
      <c r="H98" t="s">
        <v>139</v>
      </c>
      <c r="I98" t="s">
        <v>3</v>
      </c>
      <c r="J98" t="s">
        <v>28</v>
      </c>
      <c r="K98">
        <v>46</v>
      </c>
      <c r="L98" t="s">
        <v>6</v>
      </c>
      <c r="M98">
        <v>1</v>
      </c>
      <c r="N98">
        <v>25</v>
      </c>
      <c r="O98">
        <v>25</v>
      </c>
      <c r="P98">
        <v>0.375</v>
      </c>
      <c r="Q98">
        <v>0.5</v>
      </c>
    </row>
    <row r="99" spans="1:17">
      <c r="A99">
        <v>435</v>
      </c>
      <c r="B99">
        <v>20</v>
      </c>
      <c r="C99">
        <v>12</v>
      </c>
      <c r="D99">
        <v>2023</v>
      </c>
      <c r="E99" t="s">
        <v>34</v>
      </c>
      <c r="F99" t="s">
        <v>30</v>
      </c>
      <c r="G99" s="19">
        <v>45280</v>
      </c>
      <c r="H99" t="s">
        <v>140</v>
      </c>
      <c r="I99" t="s">
        <v>3</v>
      </c>
      <c r="J99" t="s">
        <v>28</v>
      </c>
      <c r="K99">
        <v>30</v>
      </c>
      <c r="L99" t="s">
        <v>6</v>
      </c>
      <c r="M99">
        <v>3</v>
      </c>
      <c r="N99">
        <v>300</v>
      </c>
      <c r="O99">
        <v>900</v>
      </c>
      <c r="P99">
        <v>13.5</v>
      </c>
      <c r="Q99">
        <v>18</v>
      </c>
    </row>
    <row r="100" spans="1:17">
      <c r="A100">
        <v>414</v>
      </c>
      <c r="B100">
        <v>9</v>
      </c>
      <c r="C100">
        <v>5</v>
      </c>
      <c r="D100">
        <v>2023</v>
      </c>
      <c r="E100" t="s">
        <v>29</v>
      </c>
      <c r="F100" t="s">
        <v>35</v>
      </c>
      <c r="G100" s="19">
        <v>45055</v>
      </c>
      <c r="H100" t="s">
        <v>141</v>
      </c>
      <c r="I100" t="s">
        <v>4</v>
      </c>
      <c r="J100" t="s">
        <v>28</v>
      </c>
      <c r="K100">
        <v>48</v>
      </c>
      <c r="L100" t="s">
        <v>6</v>
      </c>
      <c r="M100">
        <v>4</v>
      </c>
      <c r="N100">
        <v>25</v>
      </c>
      <c r="O100">
        <v>100</v>
      </c>
      <c r="P100">
        <v>1.5</v>
      </c>
      <c r="Q100">
        <v>2</v>
      </c>
    </row>
    <row r="101" spans="1:17">
      <c r="A101">
        <v>413</v>
      </c>
      <c r="B101">
        <v>8</v>
      </c>
      <c r="C101">
        <v>9</v>
      </c>
      <c r="D101">
        <v>2023</v>
      </c>
      <c r="E101" t="s">
        <v>25</v>
      </c>
      <c r="F101" t="s">
        <v>48</v>
      </c>
      <c r="G101" s="19">
        <v>45177</v>
      </c>
      <c r="H101" t="s">
        <v>142</v>
      </c>
      <c r="I101" t="s">
        <v>3</v>
      </c>
      <c r="J101" t="s">
        <v>28</v>
      </c>
      <c r="K101">
        <v>44</v>
      </c>
      <c r="L101" t="s">
        <v>6</v>
      </c>
      <c r="M101">
        <v>3</v>
      </c>
      <c r="N101">
        <v>25</v>
      </c>
      <c r="O101">
        <v>75</v>
      </c>
      <c r="P101">
        <v>1.125</v>
      </c>
      <c r="Q101">
        <v>1.5</v>
      </c>
    </row>
    <row r="102" spans="1:17">
      <c r="A102">
        <v>397</v>
      </c>
      <c r="B102">
        <v>10</v>
      </c>
      <c r="C102">
        <v>3</v>
      </c>
      <c r="D102">
        <v>2023</v>
      </c>
      <c r="E102" t="s">
        <v>25</v>
      </c>
      <c r="F102" t="s">
        <v>71</v>
      </c>
      <c r="G102" s="19">
        <v>44995</v>
      </c>
      <c r="H102" t="s">
        <v>143</v>
      </c>
      <c r="I102" t="s">
        <v>3</v>
      </c>
      <c r="J102" t="s">
        <v>28</v>
      </c>
      <c r="K102">
        <v>30</v>
      </c>
      <c r="L102" t="s">
        <v>6</v>
      </c>
      <c r="M102">
        <v>1</v>
      </c>
      <c r="N102">
        <v>25</v>
      </c>
      <c r="O102">
        <v>25</v>
      </c>
      <c r="P102">
        <v>0.375</v>
      </c>
      <c r="Q102">
        <v>0.5</v>
      </c>
    </row>
    <row r="103" spans="1:17">
      <c r="A103">
        <v>387</v>
      </c>
      <c r="B103">
        <v>4</v>
      </c>
      <c r="C103">
        <v>6</v>
      </c>
      <c r="D103">
        <v>2023</v>
      </c>
      <c r="E103" t="s">
        <v>69</v>
      </c>
      <c r="F103" t="s">
        <v>59</v>
      </c>
      <c r="G103" s="19">
        <v>45081</v>
      </c>
      <c r="H103" t="s">
        <v>144</v>
      </c>
      <c r="I103" t="s">
        <v>4</v>
      </c>
      <c r="J103" t="s">
        <v>28</v>
      </c>
      <c r="K103">
        <v>44</v>
      </c>
      <c r="L103" t="s">
        <v>6</v>
      </c>
      <c r="M103">
        <v>1</v>
      </c>
      <c r="N103">
        <v>30</v>
      </c>
      <c r="O103">
        <v>30</v>
      </c>
      <c r="P103">
        <v>0.44999999999999996</v>
      </c>
      <c r="Q103">
        <v>0.6</v>
      </c>
    </row>
    <row r="104" spans="1:17">
      <c r="A104">
        <v>383</v>
      </c>
      <c r="B104">
        <v>22</v>
      </c>
      <c r="C104">
        <v>3</v>
      </c>
      <c r="D104">
        <v>2023</v>
      </c>
      <c r="E104" t="s">
        <v>34</v>
      </c>
      <c r="F104" t="s">
        <v>71</v>
      </c>
      <c r="G104" s="19">
        <v>45007</v>
      </c>
      <c r="H104" t="s">
        <v>145</v>
      </c>
      <c r="I104" t="s">
        <v>3</v>
      </c>
      <c r="J104" t="s">
        <v>28</v>
      </c>
      <c r="K104">
        <v>46</v>
      </c>
      <c r="L104" t="s">
        <v>6</v>
      </c>
      <c r="M104">
        <v>3</v>
      </c>
      <c r="N104">
        <v>30</v>
      </c>
      <c r="O104">
        <v>90</v>
      </c>
      <c r="P104">
        <v>1.3499999999999999</v>
      </c>
      <c r="Q104">
        <v>1.8</v>
      </c>
    </row>
    <row r="105" spans="1:17">
      <c r="A105">
        <v>102</v>
      </c>
      <c r="B105">
        <v>28</v>
      </c>
      <c r="C105">
        <v>4</v>
      </c>
      <c r="D105">
        <v>2023</v>
      </c>
      <c r="E105" t="s">
        <v>25</v>
      </c>
      <c r="F105" t="s">
        <v>39</v>
      </c>
      <c r="G105" s="19">
        <v>45044</v>
      </c>
      <c r="H105" t="s">
        <v>146</v>
      </c>
      <c r="I105" t="s">
        <v>3</v>
      </c>
      <c r="J105" t="s">
        <v>28</v>
      </c>
      <c r="K105">
        <v>47</v>
      </c>
      <c r="L105" t="s">
        <v>6</v>
      </c>
      <c r="M105">
        <v>2</v>
      </c>
      <c r="N105">
        <v>25</v>
      </c>
      <c r="O105">
        <v>50</v>
      </c>
      <c r="P105">
        <v>0.75</v>
      </c>
      <c r="Q105">
        <v>1</v>
      </c>
    </row>
    <row r="106" spans="1:17">
      <c r="A106">
        <v>358</v>
      </c>
      <c r="B106">
        <v>16</v>
      </c>
      <c r="C106">
        <v>5</v>
      </c>
      <c r="D106">
        <v>2023</v>
      </c>
      <c r="E106" t="s">
        <v>29</v>
      </c>
      <c r="F106" t="s">
        <v>35</v>
      </c>
      <c r="G106" s="19">
        <v>45062</v>
      </c>
      <c r="H106" t="s">
        <v>147</v>
      </c>
      <c r="I106" t="s">
        <v>3</v>
      </c>
      <c r="J106" t="s">
        <v>28</v>
      </c>
      <c r="K106">
        <v>32</v>
      </c>
      <c r="L106" t="s">
        <v>6</v>
      </c>
      <c r="M106">
        <v>1</v>
      </c>
      <c r="N106">
        <v>300</v>
      </c>
      <c r="O106">
        <v>300</v>
      </c>
      <c r="P106">
        <v>4.5</v>
      </c>
      <c r="Q106">
        <v>6</v>
      </c>
    </row>
    <row r="107" spans="1:17">
      <c r="A107">
        <v>104</v>
      </c>
      <c r="B107">
        <v>11</v>
      </c>
      <c r="C107">
        <v>6</v>
      </c>
      <c r="D107">
        <v>2023</v>
      </c>
      <c r="E107" t="s">
        <v>69</v>
      </c>
      <c r="F107" t="s">
        <v>59</v>
      </c>
      <c r="G107" s="19">
        <v>45088</v>
      </c>
      <c r="H107" t="s">
        <v>148</v>
      </c>
      <c r="I107" t="s">
        <v>3</v>
      </c>
      <c r="J107" t="s">
        <v>28</v>
      </c>
      <c r="K107">
        <v>34</v>
      </c>
      <c r="L107" t="s">
        <v>6</v>
      </c>
      <c r="M107">
        <v>2</v>
      </c>
      <c r="N107">
        <v>500</v>
      </c>
      <c r="O107">
        <v>1000</v>
      </c>
      <c r="P107">
        <v>15</v>
      </c>
      <c r="Q107">
        <v>20</v>
      </c>
    </row>
    <row r="108" spans="1:17">
      <c r="A108">
        <v>354</v>
      </c>
      <c r="B108">
        <v>15</v>
      </c>
      <c r="C108">
        <v>4</v>
      </c>
      <c r="D108">
        <v>2023</v>
      </c>
      <c r="E108" t="s">
        <v>37</v>
      </c>
      <c r="F108" t="s">
        <v>39</v>
      </c>
      <c r="G108" s="19">
        <v>45031</v>
      </c>
      <c r="H108" t="s">
        <v>149</v>
      </c>
      <c r="I108" t="s">
        <v>3</v>
      </c>
      <c r="J108" t="s">
        <v>28</v>
      </c>
      <c r="K108">
        <v>49</v>
      </c>
      <c r="L108" t="s">
        <v>6</v>
      </c>
      <c r="M108">
        <v>4</v>
      </c>
      <c r="N108">
        <v>50</v>
      </c>
      <c r="O108">
        <v>200</v>
      </c>
      <c r="P108">
        <v>3</v>
      </c>
      <c r="Q108">
        <v>4</v>
      </c>
    </row>
    <row r="109" spans="1:17">
      <c r="A109">
        <v>344</v>
      </c>
      <c r="B109">
        <v>21</v>
      </c>
      <c r="C109">
        <v>1</v>
      </c>
      <c r="D109">
        <v>2023</v>
      </c>
      <c r="E109" t="s">
        <v>37</v>
      </c>
      <c r="F109" t="s">
        <v>75</v>
      </c>
      <c r="G109" s="19">
        <v>44947</v>
      </c>
      <c r="H109" t="s">
        <v>150</v>
      </c>
      <c r="I109" t="s">
        <v>3</v>
      </c>
      <c r="J109" t="s">
        <v>28</v>
      </c>
      <c r="K109">
        <v>42</v>
      </c>
      <c r="L109" t="s">
        <v>6</v>
      </c>
      <c r="M109">
        <v>1</v>
      </c>
      <c r="N109">
        <v>30</v>
      </c>
      <c r="O109">
        <v>30</v>
      </c>
      <c r="P109">
        <v>0.44999999999999996</v>
      </c>
      <c r="Q109">
        <v>0.6</v>
      </c>
    </row>
    <row r="110" spans="1:17">
      <c r="A110">
        <v>335</v>
      </c>
      <c r="B110">
        <v>4</v>
      </c>
      <c r="C110">
        <v>2</v>
      </c>
      <c r="D110">
        <v>2023</v>
      </c>
      <c r="E110" t="s">
        <v>37</v>
      </c>
      <c r="F110" t="s">
        <v>41</v>
      </c>
      <c r="G110" s="19">
        <v>44961</v>
      </c>
      <c r="H110" t="s">
        <v>151</v>
      </c>
      <c r="I110" t="s">
        <v>3</v>
      </c>
      <c r="J110" t="s">
        <v>28</v>
      </c>
      <c r="K110">
        <v>47</v>
      </c>
      <c r="L110" t="s">
        <v>6</v>
      </c>
      <c r="M110">
        <v>4</v>
      </c>
      <c r="N110">
        <v>30</v>
      </c>
      <c r="O110">
        <v>120</v>
      </c>
      <c r="P110">
        <v>1.7999999999999998</v>
      </c>
      <c r="Q110">
        <v>2.4</v>
      </c>
    </row>
    <row r="111" spans="1:17">
      <c r="A111">
        <v>328</v>
      </c>
      <c r="B111">
        <v>22</v>
      </c>
      <c r="C111">
        <v>3</v>
      </c>
      <c r="D111">
        <v>2023</v>
      </c>
      <c r="E111" t="s">
        <v>34</v>
      </c>
      <c r="F111" t="s">
        <v>71</v>
      </c>
      <c r="G111" s="19">
        <v>45007</v>
      </c>
      <c r="H111" t="s">
        <v>152</v>
      </c>
      <c r="I111" t="s">
        <v>4</v>
      </c>
      <c r="J111" t="s">
        <v>28</v>
      </c>
      <c r="K111">
        <v>39</v>
      </c>
      <c r="L111" t="s">
        <v>6</v>
      </c>
      <c r="M111">
        <v>2</v>
      </c>
      <c r="N111">
        <v>50</v>
      </c>
      <c r="O111">
        <v>100</v>
      </c>
      <c r="P111">
        <v>1.5</v>
      </c>
      <c r="Q111">
        <v>2</v>
      </c>
    </row>
    <row r="112" spans="1:17">
      <c r="A112">
        <v>311</v>
      </c>
      <c r="B112">
        <v>5</v>
      </c>
      <c r="C112">
        <v>12</v>
      </c>
      <c r="D112">
        <v>2023</v>
      </c>
      <c r="E112" t="s">
        <v>29</v>
      </c>
      <c r="F112" t="s">
        <v>30</v>
      </c>
      <c r="G112" s="19">
        <v>45265</v>
      </c>
      <c r="H112" t="s">
        <v>153</v>
      </c>
      <c r="I112" t="s">
        <v>3</v>
      </c>
      <c r="J112" t="s">
        <v>28</v>
      </c>
      <c r="K112">
        <v>32</v>
      </c>
      <c r="L112" t="s">
        <v>6</v>
      </c>
      <c r="M112">
        <v>4</v>
      </c>
      <c r="N112">
        <v>25</v>
      </c>
      <c r="O112">
        <v>100</v>
      </c>
      <c r="P112">
        <v>1.5</v>
      </c>
      <c r="Q112">
        <v>2</v>
      </c>
    </row>
    <row r="113" spans="1:17">
      <c r="A113">
        <v>308</v>
      </c>
      <c r="B113">
        <v>5</v>
      </c>
      <c r="C113">
        <v>8</v>
      </c>
      <c r="D113">
        <v>2023</v>
      </c>
      <c r="E113" t="s">
        <v>37</v>
      </c>
      <c r="F113" t="s">
        <v>62</v>
      </c>
      <c r="G113" s="19">
        <v>45143</v>
      </c>
      <c r="H113" t="s">
        <v>154</v>
      </c>
      <c r="I113" t="s">
        <v>3</v>
      </c>
      <c r="J113" t="s">
        <v>28</v>
      </c>
      <c r="K113">
        <v>34</v>
      </c>
      <c r="L113" t="s">
        <v>6</v>
      </c>
      <c r="M113">
        <v>4</v>
      </c>
      <c r="N113">
        <v>300</v>
      </c>
      <c r="O113">
        <v>1200</v>
      </c>
      <c r="P113">
        <v>18</v>
      </c>
      <c r="Q113">
        <v>24</v>
      </c>
    </row>
    <row r="114" spans="1:17">
      <c r="A114">
        <v>290</v>
      </c>
      <c r="B114">
        <v>4</v>
      </c>
      <c r="C114">
        <v>10</v>
      </c>
      <c r="D114">
        <v>2023</v>
      </c>
      <c r="E114" t="s">
        <v>34</v>
      </c>
      <c r="F114" t="s">
        <v>32</v>
      </c>
      <c r="G114" s="19">
        <v>45203</v>
      </c>
      <c r="H114" t="s">
        <v>155</v>
      </c>
      <c r="I114" t="s">
        <v>3</v>
      </c>
      <c r="J114" t="s">
        <v>28</v>
      </c>
      <c r="K114">
        <v>30</v>
      </c>
      <c r="L114" t="s">
        <v>6</v>
      </c>
      <c r="M114">
        <v>2</v>
      </c>
      <c r="N114">
        <v>300</v>
      </c>
      <c r="O114">
        <v>600</v>
      </c>
      <c r="P114">
        <v>9</v>
      </c>
      <c r="Q114">
        <v>12</v>
      </c>
    </row>
    <row r="115" spans="1:17">
      <c r="A115">
        <v>267</v>
      </c>
      <c r="B115">
        <v>27</v>
      </c>
      <c r="C115">
        <v>11</v>
      </c>
      <c r="D115">
        <v>2023</v>
      </c>
      <c r="E115" t="s">
        <v>46</v>
      </c>
      <c r="F115" t="s">
        <v>26</v>
      </c>
      <c r="G115" s="19">
        <v>45257</v>
      </c>
      <c r="H115" t="s">
        <v>156</v>
      </c>
      <c r="I115" t="s">
        <v>3</v>
      </c>
      <c r="J115" t="s">
        <v>28</v>
      </c>
      <c r="K115">
        <v>32</v>
      </c>
      <c r="L115" t="s">
        <v>6</v>
      </c>
      <c r="M115">
        <v>3</v>
      </c>
      <c r="N115">
        <v>30</v>
      </c>
      <c r="O115">
        <v>90</v>
      </c>
      <c r="P115">
        <v>1.3499999999999999</v>
      </c>
      <c r="Q115">
        <v>1.8</v>
      </c>
    </row>
    <row r="116" spans="1:17">
      <c r="A116">
        <v>262</v>
      </c>
      <c r="B116">
        <v>30</v>
      </c>
      <c r="C116">
        <v>7</v>
      </c>
      <c r="D116">
        <v>2023</v>
      </c>
      <c r="E116" t="s">
        <v>69</v>
      </c>
      <c r="F116" t="s">
        <v>51</v>
      </c>
      <c r="G116" s="19">
        <v>45137</v>
      </c>
      <c r="H116" t="s">
        <v>157</v>
      </c>
      <c r="I116" t="s">
        <v>3</v>
      </c>
      <c r="J116" t="s">
        <v>28</v>
      </c>
      <c r="K116">
        <v>32</v>
      </c>
      <c r="L116" t="s">
        <v>6</v>
      </c>
      <c r="M116">
        <v>4</v>
      </c>
      <c r="N116">
        <v>30</v>
      </c>
      <c r="O116">
        <v>120</v>
      </c>
      <c r="P116">
        <v>1.7999999999999998</v>
      </c>
      <c r="Q116">
        <v>2.4</v>
      </c>
    </row>
    <row r="117" spans="1:17">
      <c r="A117">
        <v>238</v>
      </c>
      <c r="B117">
        <v>17</v>
      </c>
      <c r="C117">
        <v>1</v>
      </c>
      <c r="D117">
        <v>2023</v>
      </c>
      <c r="E117" t="s">
        <v>29</v>
      </c>
      <c r="F117" t="s">
        <v>75</v>
      </c>
      <c r="G117" s="19">
        <v>44943</v>
      </c>
      <c r="H117" t="s">
        <v>158</v>
      </c>
      <c r="I117" t="s">
        <v>3</v>
      </c>
      <c r="J117" t="s">
        <v>28</v>
      </c>
      <c r="K117">
        <v>39</v>
      </c>
      <c r="L117" t="s">
        <v>6</v>
      </c>
      <c r="M117">
        <v>1</v>
      </c>
      <c r="N117">
        <v>500</v>
      </c>
      <c r="O117">
        <v>500</v>
      </c>
      <c r="P117">
        <v>7.5</v>
      </c>
      <c r="Q117">
        <v>10</v>
      </c>
    </row>
    <row r="118" spans="1:17">
      <c r="A118">
        <v>232</v>
      </c>
      <c r="B118">
        <v>6</v>
      </c>
      <c r="C118">
        <v>2</v>
      </c>
      <c r="D118">
        <v>2023</v>
      </c>
      <c r="E118" t="s">
        <v>46</v>
      </c>
      <c r="F118" t="s">
        <v>41</v>
      </c>
      <c r="G118" s="19">
        <v>44963</v>
      </c>
      <c r="H118" t="s">
        <v>159</v>
      </c>
      <c r="I118" t="s">
        <v>3</v>
      </c>
      <c r="J118" t="s">
        <v>28</v>
      </c>
      <c r="K118">
        <v>43</v>
      </c>
      <c r="L118" t="s">
        <v>6</v>
      </c>
      <c r="M118">
        <v>1</v>
      </c>
      <c r="N118">
        <v>25</v>
      </c>
      <c r="O118">
        <v>25</v>
      </c>
      <c r="P118">
        <v>0.375</v>
      </c>
      <c r="Q118">
        <v>0.5</v>
      </c>
    </row>
    <row r="119" spans="1:17">
      <c r="A119">
        <v>221</v>
      </c>
      <c r="B119">
        <v>7</v>
      </c>
      <c r="C119">
        <v>5</v>
      </c>
      <c r="D119">
        <v>2023</v>
      </c>
      <c r="E119" t="s">
        <v>69</v>
      </c>
      <c r="F119" t="s">
        <v>35</v>
      </c>
      <c r="G119" s="19">
        <v>45053</v>
      </c>
      <c r="H119" t="s">
        <v>160</v>
      </c>
      <c r="I119" t="s">
        <v>4</v>
      </c>
      <c r="J119" t="s">
        <v>28</v>
      </c>
      <c r="K119">
        <v>39</v>
      </c>
      <c r="L119" t="s">
        <v>6</v>
      </c>
      <c r="M119">
        <v>2</v>
      </c>
      <c r="N119">
        <v>300</v>
      </c>
      <c r="O119">
        <v>600</v>
      </c>
      <c r="P119">
        <v>9</v>
      </c>
      <c r="Q119">
        <v>12</v>
      </c>
    </row>
    <row r="120" spans="1:17">
      <c r="A120">
        <v>211</v>
      </c>
      <c r="B120">
        <v>1</v>
      </c>
      <c r="C120">
        <v>1</v>
      </c>
      <c r="D120">
        <v>2024</v>
      </c>
      <c r="E120" t="s">
        <v>46</v>
      </c>
      <c r="F120" t="s">
        <v>75</v>
      </c>
      <c r="G120" s="19">
        <v>45292</v>
      </c>
      <c r="H120" t="s">
        <v>161</v>
      </c>
      <c r="I120" t="s">
        <v>4</v>
      </c>
      <c r="J120" t="s">
        <v>28</v>
      </c>
      <c r="K120">
        <v>42</v>
      </c>
      <c r="L120" t="s">
        <v>6</v>
      </c>
      <c r="M120">
        <v>3</v>
      </c>
      <c r="N120">
        <v>500</v>
      </c>
      <c r="O120">
        <v>1500</v>
      </c>
      <c r="P120">
        <v>22.5</v>
      </c>
      <c r="Q120">
        <v>30</v>
      </c>
    </row>
    <row r="121" spans="1:17">
      <c r="A121">
        <v>207</v>
      </c>
      <c r="B121">
        <v>19</v>
      </c>
      <c r="C121">
        <v>4</v>
      </c>
      <c r="D121">
        <v>2023</v>
      </c>
      <c r="E121" t="s">
        <v>34</v>
      </c>
      <c r="F121" t="s">
        <v>39</v>
      </c>
      <c r="G121" s="19">
        <v>45035</v>
      </c>
      <c r="H121" t="s">
        <v>162</v>
      </c>
      <c r="I121" t="s">
        <v>3</v>
      </c>
      <c r="J121" t="s">
        <v>28</v>
      </c>
      <c r="K121">
        <v>42</v>
      </c>
      <c r="L121" t="s">
        <v>6</v>
      </c>
      <c r="M121">
        <v>2</v>
      </c>
      <c r="N121">
        <v>25</v>
      </c>
      <c r="O121">
        <v>50</v>
      </c>
      <c r="P121">
        <v>0.75</v>
      </c>
      <c r="Q121">
        <v>1</v>
      </c>
    </row>
    <row r="122" spans="1:17">
      <c r="A122">
        <v>204</v>
      </c>
      <c r="B122">
        <v>28</v>
      </c>
      <c r="C122">
        <v>9</v>
      </c>
      <c r="D122">
        <v>2023</v>
      </c>
      <c r="E122" t="s">
        <v>44</v>
      </c>
      <c r="F122" t="s">
        <v>48</v>
      </c>
      <c r="G122" s="19">
        <v>45197</v>
      </c>
      <c r="H122" t="s">
        <v>163</v>
      </c>
      <c r="I122" t="s">
        <v>4</v>
      </c>
      <c r="J122" t="s">
        <v>28</v>
      </c>
      <c r="K122">
        <v>39</v>
      </c>
      <c r="L122" t="s">
        <v>6</v>
      </c>
      <c r="M122">
        <v>1</v>
      </c>
      <c r="N122">
        <v>25</v>
      </c>
      <c r="O122">
        <v>25</v>
      </c>
      <c r="P122">
        <v>0.375</v>
      </c>
      <c r="Q122">
        <v>0.5</v>
      </c>
    </row>
    <row r="123" spans="1:17">
      <c r="A123">
        <v>199</v>
      </c>
      <c r="B123">
        <v>4</v>
      </c>
      <c r="C123">
        <v>12</v>
      </c>
      <c r="D123">
        <v>2023</v>
      </c>
      <c r="E123" t="s">
        <v>46</v>
      </c>
      <c r="F123" t="s">
        <v>30</v>
      </c>
      <c r="G123" s="19">
        <v>45264</v>
      </c>
      <c r="H123" t="s">
        <v>164</v>
      </c>
      <c r="I123" t="s">
        <v>4</v>
      </c>
      <c r="J123" t="s">
        <v>28</v>
      </c>
      <c r="K123">
        <v>45</v>
      </c>
      <c r="L123" t="s">
        <v>6</v>
      </c>
      <c r="M123">
        <v>3</v>
      </c>
      <c r="N123">
        <v>500</v>
      </c>
      <c r="O123">
        <v>1500</v>
      </c>
      <c r="P123">
        <v>22.5</v>
      </c>
      <c r="Q123">
        <v>30</v>
      </c>
    </row>
    <row r="124" spans="1:17">
      <c r="A124">
        <v>193</v>
      </c>
      <c r="B124">
        <v>13</v>
      </c>
      <c r="C124">
        <v>2</v>
      </c>
      <c r="D124">
        <v>2023</v>
      </c>
      <c r="E124" t="s">
        <v>46</v>
      </c>
      <c r="F124" t="s">
        <v>41</v>
      </c>
      <c r="G124" s="19">
        <v>44970</v>
      </c>
      <c r="H124" t="s">
        <v>165</v>
      </c>
      <c r="I124" t="s">
        <v>4</v>
      </c>
      <c r="J124" t="s">
        <v>28</v>
      </c>
      <c r="K124">
        <v>35</v>
      </c>
      <c r="L124" t="s">
        <v>6</v>
      </c>
      <c r="M124">
        <v>3</v>
      </c>
      <c r="N124">
        <v>500</v>
      </c>
      <c r="O124">
        <v>1500</v>
      </c>
      <c r="P124">
        <v>22.5</v>
      </c>
      <c r="Q124">
        <v>30</v>
      </c>
    </row>
    <row r="125" spans="1:17">
      <c r="A125">
        <v>183</v>
      </c>
      <c r="B125">
        <v>8</v>
      </c>
      <c r="C125">
        <v>9</v>
      </c>
      <c r="D125">
        <v>2023</v>
      </c>
      <c r="E125" t="s">
        <v>25</v>
      </c>
      <c r="F125" t="s">
        <v>48</v>
      </c>
      <c r="G125" s="19">
        <v>45177</v>
      </c>
      <c r="H125" t="s">
        <v>166</v>
      </c>
      <c r="I125" t="s">
        <v>3</v>
      </c>
      <c r="J125" t="s">
        <v>28</v>
      </c>
      <c r="K125">
        <v>43</v>
      </c>
      <c r="L125" t="s">
        <v>6</v>
      </c>
      <c r="M125">
        <v>3</v>
      </c>
      <c r="N125">
        <v>300</v>
      </c>
      <c r="O125">
        <v>900</v>
      </c>
      <c r="P125">
        <v>13.5</v>
      </c>
      <c r="Q125">
        <v>18</v>
      </c>
    </row>
    <row r="126" spans="1:17">
      <c r="A126">
        <v>177</v>
      </c>
      <c r="B126">
        <v>24</v>
      </c>
      <c r="C126">
        <v>3</v>
      </c>
      <c r="D126">
        <v>2023</v>
      </c>
      <c r="E126" t="s">
        <v>25</v>
      </c>
      <c r="F126" t="s">
        <v>71</v>
      </c>
      <c r="G126" s="19">
        <v>45009</v>
      </c>
      <c r="H126" t="s">
        <v>167</v>
      </c>
      <c r="I126" t="s">
        <v>4</v>
      </c>
      <c r="J126" t="s">
        <v>28</v>
      </c>
      <c r="K126">
        <v>45</v>
      </c>
      <c r="L126" t="s">
        <v>6</v>
      </c>
      <c r="M126">
        <v>2</v>
      </c>
      <c r="N126">
        <v>50</v>
      </c>
      <c r="O126">
        <v>100</v>
      </c>
      <c r="P126">
        <v>1.5</v>
      </c>
      <c r="Q126">
        <v>2</v>
      </c>
    </row>
    <row r="127" spans="1:17">
      <c r="A127">
        <v>176</v>
      </c>
      <c r="B127">
        <v>11</v>
      </c>
      <c r="C127">
        <v>7</v>
      </c>
      <c r="D127">
        <v>2023</v>
      </c>
      <c r="E127" t="s">
        <v>29</v>
      </c>
      <c r="F127" t="s">
        <v>51</v>
      </c>
      <c r="G127" s="19">
        <v>45118</v>
      </c>
      <c r="H127" t="s">
        <v>168</v>
      </c>
      <c r="I127" t="s">
        <v>3</v>
      </c>
      <c r="J127" t="s">
        <v>28</v>
      </c>
      <c r="K127">
        <v>43</v>
      </c>
      <c r="L127" t="s">
        <v>6</v>
      </c>
      <c r="M127">
        <v>2</v>
      </c>
      <c r="N127">
        <v>50</v>
      </c>
      <c r="O127">
        <v>100</v>
      </c>
      <c r="P127">
        <v>1.5</v>
      </c>
      <c r="Q127">
        <v>2</v>
      </c>
    </row>
    <row r="128" spans="1:17">
      <c r="A128">
        <v>174</v>
      </c>
      <c r="B128">
        <v>12</v>
      </c>
      <c r="C128">
        <v>4</v>
      </c>
      <c r="D128">
        <v>2023</v>
      </c>
      <c r="E128" t="s">
        <v>34</v>
      </c>
      <c r="F128" t="s">
        <v>39</v>
      </c>
      <c r="G128" s="19">
        <v>45028</v>
      </c>
      <c r="H128" t="s">
        <v>169</v>
      </c>
      <c r="I128" t="s">
        <v>3</v>
      </c>
      <c r="J128" t="s">
        <v>28</v>
      </c>
      <c r="K128">
        <v>39</v>
      </c>
      <c r="L128" t="s">
        <v>6</v>
      </c>
      <c r="M128">
        <v>1</v>
      </c>
      <c r="N128">
        <v>300</v>
      </c>
      <c r="O128">
        <v>300</v>
      </c>
      <c r="P128">
        <v>4.5</v>
      </c>
      <c r="Q128">
        <v>6</v>
      </c>
    </row>
    <row r="129" spans="1:17">
      <c r="A129">
        <v>172</v>
      </c>
      <c r="B129">
        <v>17</v>
      </c>
      <c r="C129">
        <v>9</v>
      </c>
      <c r="D129">
        <v>2023</v>
      </c>
      <c r="E129" t="s">
        <v>69</v>
      </c>
      <c r="F129" t="s">
        <v>48</v>
      </c>
      <c r="G129" s="19">
        <v>45186</v>
      </c>
      <c r="H129" t="s">
        <v>170</v>
      </c>
      <c r="I129" t="s">
        <v>4</v>
      </c>
      <c r="J129" t="s">
        <v>28</v>
      </c>
      <c r="K129">
        <v>32</v>
      </c>
      <c r="L129" t="s">
        <v>6</v>
      </c>
      <c r="M129">
        <v>2</v>
      </c>
      <c r="N129">
        <v>25</v>
      </c>
      <c r="O129">
        <v>50</v>
      </c>
      <c r="P129">
        <v>0.75</v>
      </c>
      <c r="Q129">
        <v>1</v>
      </c>
    </row>
    <row r="130" spans="1:17">
      <c r="A130">
        <v>164</v>
      </c>
      <c r="B130">
        <v>15</v>
      </c>
      <c r="C130">
        <v>5</v>
      </c>
      <c r="D130">
        <v>2023</v>
      </c>
      <c r="E130" t="s">
        <v>46</v>
      </c>
      <c r="F130" t="s">
        <v>35</v>
      </c>
      <c r="G130" s="19">
        <v>45061</v>
      </c>
      <c r="H130" t="s">
        <v>171</v>
      </c>
      <c r="I130" t="s">
        <v>3</v>
      </c>
      <c r="J130" t="s">
        <v>28</v>
      </c>
      <c r="K130">
        <v>47</v>
      </c>
      <c r="L130" t="s">
        <v>6</v>
      </c>
      <c r="M130">
        <v>3</v>
      </c>
      <c r="N130">
        <v>500</v>
      </c>
      <c r="O130">
        <v>1500</v>
      </c>
      <c r="P130">
        <v>22.5</v>
      </c>
      <c r="Q130">
        <v>30</v>
      </c>
    </row>
    <row r="131" spans="1:17">
      <c r="A131">
        <v>139</v>
      </c>
      <c r="B131">
        <v>15</v>
      </c>
      <c r="C131">
        <v>12</v>
      </c>
      <c r="D131">
        <v>2023</v>
      </c>
      <c r="E131" t="s">
        <v>25</v>
      </c>
      <c r="F131" t="s">
        <v>30</v>
      </c>
      <c r="G131" s="19">
        <v>45275</v>
      </c>
      <c r="H131" t="s">
        <v>172</v>
      </c>
      <c r="I131" t="s">
        <v>4</v>
      </c>
      <c r="J131" t="s">
        <v>28</v>
      </c>
      <c r="K131">
        <v>36</v>
      </c>
      <c r="L131" t="s">
        <v>6</v>
      </c>
      <c r="M131">
        <v>4</v>
      </c>
      <c r="N131">
        <v>500</v>
      </c>
      <c r="O131">
        <v>2000</v>
      </c>
      <c r="P131">
        <v>30</v>
      </c>
      <c r="Q131">
        <v>40</v>
      </c>
    </row>
    <row r="132" spans="1:17">
      <c r="A132">
        <v>137</v>
      </c>
      <c r="B132">
        <v>18</v>
      </c>
      <c r="C132">
        <v>11</v>
      </c>
      <c r="D132">
        <v>2023</v>
      </c>
      <c r="E132" t="s">
        <v>37</v>
      </c>
      <c r="F132" t="s">
        <v>26</v>
      </c>
      <c r="G132" s="19">
        <v>45248</v>
      </c>
      <c r="H132" t="s">
        <v>173</v>
      </c>
      <c r="I132" t="s">
        <v>4</v>
      </c>
      <c r="J132" t="s">
        <v>28</v>
      </c>
      <c r="K132">
        <v>46</v>
      </c>
      <c r="L132" t="s">
        <v>6</v>
      </c>
      <c r="M132">
        <v>2</v>
      </c>
      <c r="N132">
        <v>500</v>
      </c>
      <c r="O132">
        <v>1000</v>
      </c>
      <c r="P132">
        <v>15</v>
      </c>
      <c r="Q132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7791-70D2-47B0-880A-32C3ACCC28ED}">
  <dimension ref="A1:Q150"/>
  <sheetViews>
    <sheetView workbookViewId="0"/>
  </sheetViews>
  <sheetFormatPr defaultRowHeight="15.75"/>
  <cols>
    <col min="1" max="1" width="15.125" bestFit="1" customWidth="1"/>
    <col min="5" max="5" width="11.625" bestFit="1" customWidth="1"/>
    <col min="6" max="6" width="14" bestFit="1" customWidth="1"/>
    <col min="7" max="7" width="10.625" bestFit="1" customWidth="1"/>
    <col min="8" max="8" width="13.25" bestFit="1" customWidth="1"/>
    <col min="9" max="9" width="9.125" bestFit="1" customWidth="1"/>
    <col min="10" max="10" width="12.375" bestFit="1" customWidth="1"/>
    <col min="12" max="12" width="17.5" bestFit="1" customWidth="1"/>
    <col min="13" max="13" width="10.375" bestFit="1" customWidth="1"/>
    <col min="14" max="14" width="14.375" bestFit="1" customWidth="1"/>
    <col min="15" max="15" width="11.875" bestFit="1" customWidth="1"/>
    <col min="16" max="17" width="17" bestFit="1" customWidth="1"/>
  </cols>
  <sheetData>
    <row r="1" spans="1:17">
      <c r="A1" s="1" t="s">
        <v>174</v>
      </c>
    </row>
    <row r="3" spans="1:17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</v>
      </c>
      <c r="J3" t="s">
        <v>18</v>
      </c>
      <c r="K3" t="s">
        <v>19</v>
      </c>
      <c r="L3" t="s">
        <v>2</v>
      </c>
      <c r="M3" t="s">
        <v>20</v>
      </c>
      <c r="N3" t="s">
        <v>21</v>
      </c>
      <c r="O3" t="s">
        <v>22</v>
      </c>
      <c r="P3" t="s">
        <v>23</v>
      </c>
      <c r="Q3" t="s">
        <v>24</v>
      </c>
    </row>
    <row r="4" spans="1:17">
      <c r="A4">
        <v>995</v>
      </c>
      <c r="B4">
        <v>30</v>
      </c>
      <c r="C4">
        <v>4</v>
      </c>
      <c r="D4">
        <v>2023</v>
      </c>
      <c r="E4" t="s">
        <v>69</v>
      </c>
      <c r="F4" t="s">
        <v>39</v>
      </c>
      <c r="G4" s="19">
        <v>45046</v>
      </c>
      <c r="H4" t="s">
        <v>175</v>
      </c>
      <c r="I4" t="s">
        <v>3</v>
      </c>
      <c r="J4" t="s">
        <v>28</v>
      </c>
      <c r="K4">
        <v>41</v>
      </c>
      <c r="L4" t="s">
        <v>7</v>
      </c>
      <c r="M4">
        <v>1</v>
      </c>
      <c r="N4">
        <v>30</v>
      </c>
      <c r="O4">
        <v>30</v>
      </c>
      <c r="P4">
        <v>0.44999999999999996</v>
      </c>
      <c r="Q4">
        <v>0.6</v>
      </c>
    </row>
    <row r="5" spans="1:17">
      <c r="A5">
        <v>991</v>
      </c>
      <c r="B5">
        <v>26</v>
      </c>
      <c r="C5">
        <v>12</v>
      </c>
      <c r="D5">
        <v>2023</v>
      </c>
      <c r="E5" t="s">
        <v>29</v>
      </c>
      <c r="F5" t="s">
        <v>30</v>
      </c>
      <c r="G5" s="19">
        <v>45286</v>
      </c>
      <c r="H5" t="s">
        <v>176</v>
      </c>
      <c r="I5" t="s">
        <v>3</v>
      </c>
      <c r="J5" t="s">
        <v>28</v>
      </c>
      <c r="K5">
        <v>34</v>
      </c>
      <c r="L5" t="s">
        <v>7</v>
      </c>
      <c r="M5">
        <v>2</v>
      </c>
      <c r="N5">
        <v>50</v>
      </c>
      <c r="O5">
        <v>100</v>
      </c>
      <c r="P5">
        <v>1.5</v>
      </c>
      <c r="Q5">
        <v>2</v>
      </c>
    </row>
    <row r="6" spans="1:17">
      <c r="A6">
        <v>987</v>
      </c>
      <c r="B6">
        <v>29</v>
      </c>
      <c r="C6">
        <v>4</v>
      </c>
      <c r="D6">
        <v>2023</v>
      </c>
      <c r="E6" t="s">
        <v>37</v>
      </c>
      <c r="F6" t="s">
        <v>39</v>
      </c>
      <c r="G6" s="19">
        <v>45045</v>
      </c>
      <c r="H6" t="s">
        <v>177</v>
      </c>
      <c r="I6" t="s">
        <v>3</v>
      </c>
      <c r="J6" t="s">
        <v>28</v>
      </c>
      <c r="K6">
        <v>30</v>
      </c>
      <c r="L6" t="s">
        <v>7</v>
      </c>
      <c r="M6">
        <v>3</v>
      </c>
      <c r="N6">
        <v>300</v>
      </c>
      <c r="O6">
        <v>900</v>
      </c>
      <c r="P6">
        <v>13.5</v>
      </c>
      <c r="Q6">
        <v>18</v>
      </c>
    </row>
    <row r="7" spans="1:17">
      <c r="A7">
        <v>4</v>
      </c>
      <c r="B7">
        <v>21</v>
      </c>
      <c r="C7">
        <v>5</v>
      </c>
      <c r="D7">
        <v>2023</v>
      </c>
      <c r="E7" t="s">
        <v>69</v>
      </c>
      <c r="F7" t="s">
        <v>35</v>
      </c>
      <c r="G7" s="19">
        <v>45067</v>
      </c>
      <c r="H7" t="s">
        <v>178</v>
      </c>
      <c r="I7" t="s">
        <v>4</v>
      </c>
      <c r="J7" t="s">
        <v>28</v>
      </c>
      <c r="K7">
        <v>37</v>
      </c>
      <c r="L7" t="s">
        <v>7</v>
      </c>
      <c r="M7">
        <v>1</v>
      </c>
      <c r="N7">
        <v>500</v>
      </c>
      <c r="O7">
        <v>500</v>
      </c>
      <c r="P7">
        <v>7.5</v>
      </c>
      <c r="Q7">
        <v>10</v>
      </c>
    </row>
    <row r="8" spans="1:17">
      <c r="A8">
        <v>986</v>
      </c>
      <c r="B8">
        <v>17</v>
      </c>
      <c r="C8">
        <v>1</v>
      </c>
      <c r="D8">
        <v>2023</v>
      </c>
      <c r="E8" t="s">
        <v>29</v>
      </c>
      <c r="F8" t="s">
        <v>75</v>
      </c>
      <c r="G8" s="19">
        <v>44943</v>
      </c>
      <c r="H8" t="s">
        <v>179</v>
      </c>
      <c r="I8" t="s">
        <v>3</v>
      </c>
      <c r="J8" t="s">
        <v>28</v>
      </c>
      <c r="K8">
        <v>49</v>
      </c>
      <c r="L8" t="s">
        <v>7</v>
      </c>
      <c r="M8">
        <v>2</v>
      </c>
      <c r="N8">
        <v>500</v>
      </c>
      <c r="O8">
        <v>1000</v>
      </c>
      <c r="P8">
        <v>15</v>
      </c>
      <c r="Q8">
        <v>20</v>
      </c>
    </row>
    <row r="9" spans="1:17">
      <c r="A9">
        <v>969</v>
      </c>
      <c r="B9">
        <v>19</v>
      </c>
      <c r="C9">
        <v>4</v>
      </c>
      <c r="D9">
        <v>2023</v>
      </c>
      <c r="E9" t="s">
        <v>34</v>
      </c>
      <c r="F9" t="s">
        <v>39</v>
      </c>
      <c r="G9" s="19">
        <v>45035</v>
      </c>
      <c r="H9" t="s">
        <v>180</v>
      </c>
      <c r="I9" t="s">
        <v>3</v>
      </c>
      <c r="J9" t="s">
        <v>28</v>
      </c>
      <c r="K9">
        <v>40</v>
      </c>
      <c r="L9" t="s">
        <v>7</v>
      </c>
      <c r="M9">
        <v>3</v>
      </c>
      <c r="N9">
        <v>300</v>
      </c>
      <c r="O9">
        <v>900</v>
      </c>
      <c r="P9">
        <v>13.5</v>
      </c>
      <c r="Q9">
        <v>18</v>
      </c>
    </row>
    <row r="10" spans="1:17">
      <c r="A10">
        <v>7</v>
      </c>
      <c r="B10">
        <v>13</v>
      </c>
      <c r="C10">
        <v>3</v>
      </c>
      <c r="D10">
        <v>2023</v>
      </c>
      <c r="E10" t="s">
        <v>46</v>
      </c>
      <c r="F10" t="s">
        <v>71</v>
      </c>
      <c r="G10" s="19">
        <v>44998</v>
      </c>
      <c r="H10" t="s">
        <v>181</v>
      </c>
      <c r="I10" t="s">
        <v>4</v>
      </c>
      <c r="J10" t="s">
        <v>28</v>
      </c>
      <c r="K10">
        <v>46</v>
      </c>
      <c r="L10" t="s">
        <v>7</v>
      </c>
      <c r="M10">
        <v>2</v>
      </c>
      <c r="N10">
        <v>25</v>
      </c>
      <c r="O10">
        <v>50</v>
      </c>
      <c r="P10">
        <v>0.75</v>
      </c>
      <c r="Q10">
        <v>1</v>
      </c>
    </row>
    <row r="11" spans="1:17">
      <c r="A11">
        <v>968</v>
      </c>
      <c r="B11">
        <v>17</v>
      </c>
      <c r="C11">
        <v>11</v>
      </c>
      <c r="D11">
        <v>2023</v>
      </c>
      <c r="E11" t="s">
        <v>25</v>
      </c>
      <c r="F11" t="s">
        <v>26</v>
      </c>
      <c r="G11" s="19">
        <v>45247</v>
      </c>
      <c r="H11" t="s">
        <v>182</v>
      </c>
      <c r="I11" t="s">
        <v>3</v>
      </c>
      <c r="J11" t="s">
        <v>28</v>
      </c>
      <c r="K11">
        <v>48</v>
      </c>
      <c r="L11" t="s">
        <v>7</v>
      </c>
      <c r="M11">
        <v>3</v>
      </c>
      <c r="N11">
        <v>300</v>
      </c>
      <c r="O11">
        <v>900</v>
      </c>
      <c r="P11">
        <v>13.5</v>
      </c>
      <c r="Q11">
        <v>18</v>
      </c>
    </row>
    <row r="12" spans="1:17">
      <c r="A12">
        <v>962</v>
      </c>
      <c r="B12">
        <v>19</v>
      </c>
      <c r="C12">
        <v>10</v>
      </c>
      <c r="D12">
        <v>2023</v>
      </c>
      <c r="E12" t="s">
        <v>44</v>
      </c>
      <c r="F12" t="s">
        <v>32</v>
      </c>
      <c r="G12" s="19">
        <v>45218</v>
      </c>
      <c r="H12" t="s">
        <v>183</v>
      </c>
      <c r="I12" t="s">
        <v>4</v>
      </c>
      <c r="J12" t="s">
        <v>28</v>
      </c>
      <c r="K12">
        <v>44</v>
      </c>
      <c r="L12" t="s">
        <v>7</v>
      </c>
      <c r="M12">
        <v>2</v>
      </c>
      <c r="N12">
        <v>30</v>
      </c>
      <c r="O12">
        <v>60</v>
      </c>
      <c r="P12">
        <v>0.89999999999999991</v>
      </c>
      <c r="Q12">
        <v>1.2</v>
      </c>
    </row>
    <row r="13" spans="1:17">
      <c r="A13">
        <v>956</v>
      </c>
      <c r="B13">
        <v>19</v>
      </c>
      <c r="C13">
        <v>8</v>
      </c>
      <c r="D13">
        <v>2023</v>
      </c>
      <c r="E13" t="s">
        <v>37</v>
      </c>
      <c r="F13" t="s">
        <v>62</v>
      </c>
      <c r="G13" s="19">
        <v>45157</v>
      </c>
      <c r="H13" t="s">
        <v>184</v>
      </c>
      <c r="I13" t="s">
        <v>4</v>
      </c>
      <c r="J13" t="s">
        <v>28</v>
      </c>
      <c r="K13">
        <v>30</v>
      </c>
      <c r="L13" t="s">
        <v>7</v>
      </c>
      <c r="M13">
        <v>3</v>
      </c>
      <c r="N13">
        <v>500</v>
      </c>
      <c r="O13">
        <v>1500</v>
      </c>
      <c r="P13">
        <v>22.5</v>
      </c>
      <c r="Q13">
        <v>30</v>
      </c>
    </row>
    <row r="14" spans="1:17">
      <c r="A14">
        <v>950</v>
      </c>
      <c r="B14">
        <v>7</v>
      </c>
      <c r="C14">
        <v>11</v>
      </c>
      <c r="D14">
        <v>2023</v>
      </c>
      <c r="E14" t="s">
        <v>29</v>
      </c>
      <c r="F14" t="s">
        <v>26</v>
      </c>
      <c r="G14" s="19">
        <v>45237</v>
      </c>
      <c r="H14" t="s">
        <v>185</v>
      </c>
      <c r="I14" t="s">
        <v>4</v>
      </c>
      <c r="J14" t="s">
        <v>28</v>
      </c>
      <c r="K14">
        <v>36</v>
      </c>
      <c r="L14" t="s">
        <v>7</v>
      </c>
      <c r="M14">
        <v>3</v>
      </c>
      <c r="N14">
        <v>300</v>
      </c>
      <c r="O14">
        <v>900</v>
      </c>
      <c r="P14">
        <v>13.5</v>
      </c>
      <c r="Q14">
        <v>18</v>
      </c>
    </row>
    <row r="15" spans="1:17">
      <c r="A15">
        <v>944</v>
      </c>
      <c r="B15">
        <v>5</v>
      </c>
      <c r="C15">
        <v>6</v>
      </c>
      <c r="D15">
        <v>2023</v>
      </c>
      <c r="E15" t="s">
        <v>46</v>
      </c>
      <c r="F15" t="s">
        <v>59</v>
      </c>
      <c r="G15" s="19">
        <v>45082</v>
      </c>
      <c r="H15" t="s">
        <v>186</v>
      </c>
      <c r="I15" t="s">
        <v>4</v>
      </c>
      <c r="J15" t="s">
        <v>28</v>
      </c>
      <c r="K15">
        <v>44</v>
      </c>
      <c r="L15" t="s">
        <v>7</v>
      </c>
      <c r="M15">
        <v>2</v>
      </c>
      <c r="N15">
        <v>25</v>
      </c>
      <c r="O15">
        <v>50</v>
      </c>
      <c r="P15">
        <v>0.75</v>
      </c>
      <c r="Q15">
        <v>1</v>
      </c>
    </row>
    <row r="16" spans="1:17">
      <c r="A16">
        <v>938</v>
      </c>
      <c r="B16">
        <v>19</v>
      </c>
      <c r="C16">
        <v>11</v>
      </c>
      <c r="D16">
        <v>2023</v>
      </c>
      <c r="E16" t="s">
        <v>69</v>
      </c>
      <c r="F16" t="s">
        <v>26</v>
      </c>
      <c r="G16" s="19">
        <v>45249</v>
      </c>
      <c r="H16" t="s">
        <v>187</v>
      </c>
      <c r="I16" t="s">
        <v>4</v>
      </c>
      <c r="J16" t="s">
        <v>28</v>
      </c>
      <c r="K16">
        <v>49</v>
      </c>
      <c r="L16" t="s">
        <v>7</v>
      </c>
      <c r="M16">
        <v>4</v>
      </c>
      <c r="N16">
        <v>50</v>
      </c>
      <c r="O16">
        <v>200</v>
      </c>
      <c r="P16">
        <v>3</v>
      </c>
      <c r="Q16">
        <v>4</v>
      </c>
    </row>
    <row r="17" spans="1:17">
      <c r="A17">
        <v>928</v>
      </c>
      <c r="B17">
        <v>5</v>
      </c>
      <c r="C17">
        <v>4</v>
      </c>
      <c r="D17">
        <v>2023</v>
      </c>
      <c r="E17" t="s">
        <v>34</v>
      </c>
      <c r="F17" t="s">
        <v>39</v>
      </c>
      <c r="G17" s="19">
        <v>45021</v>
      </c>
      <c r="H17" t="s">
        <v>188</v>
      </c>
      <c r="I17" t="s">
        <v>3</v>
      </c>
      <c r="J17" t="s">
        <v>28</v>
      </c>
      <c r="K17">
        <v>35</v>
      </c>
      <c r="L17" t="s">
        <v>7</v>
      </c>
      <c r="M17">
        <v>4</v>
      </c>
      <c r="N17">
        <v>300</v>
      </c>
      <c r="O17">
        <v>1200</v>
      </c>
      <c r="P17">
        <v>18</v>
      </c>
      <c r="Q17">
        <v>24</v>
      </c>
    </row>
    <row r="18" spans="1:17">
      <c r="A18">
        <v>898</v>
      </c>
      <c r="B18">
        <v>2</v>
      </c>
      <c r="C18">
        <v>11</v>
      </c>
      <c r="D18">
        <v>2023</v>
      </c>
      <c r="E18" t="s">
        <v>44</v>
      </c>
      <c r="F18" t="s">
        <v>26</v>
      </c>
      <c r="G18" s="19">
        <v>45232</v>
      </c>
      <c r="H18" t="s">
        <v>189</v>
      </c>
      <c r="I18" t="s">
        <v>3</v>
      </c>
      <c r="J18" t="s">
        <v>28</v>
      </c>
      <c r="K18">
        <v>42</v>
      </c>
      <c r="L18" t="s">
        <v>7</v>
      </c>
      <c r="M18">
        <v>3</v>
      </c>
      <c r="N18">
        <v>30</v>
      </c>
      <c r="O18">
        <v>90</v>
      </c>
      <c r="P18">
        <v>1.3499999999999999</v>
      </c>
      <c r="Q18">
        <v>1.8</v>
      </c>
    </row>
    <row r="19" spans="1:17">
      <c r="A19">
        <v>876</v>
      </c>
      <c r="B19">
        <v>9</v>
      </c>
      <c r="C19">
        <v>10</v>
      </c>
      <c r="D19">
        <v>2023</v>
      </c>
      <c r="E19" t="s">
        <v>46</v>
      </c>
      <c r="F19" t="s">
        <v>32</v>
      </c>
      <c r="G19" s="19">
        <v>45208</v>
      </c>
      <c r="H19" t="s">
        <v>190</v>
      </c>
      <c r="I19" t="s">
        <v>4</v>
      </c>
      <c r="J19" t="s">
        <v>28</v>
      </c>
      <c r="K19">
        <v>43</v>
      </c>
      <c r="L19" t="s">
        <v>7</v>
      </c>
      <c r="M19">
        <v>4</v>
      </c>
      <c r="N19">
        <v>30</v>
      </c>
      <c r="O19">
        <v>120</v>
      </c>
      <c r="P19">
        <v>1.7999999999999998</v>
      </c>
      <c r="Q19">
        <v>2.4</v>
      </c>
    </row>
    <row r="20" spans="1:17">
      <c r="A20">
        <v>865</v>
      </c>
      <c r="B20">
        <v>21</v>
      </c>
      <c r="C20">
        <v>12</v>
      </c>
      <c r="D20">
        <v>2023</v>
      </c>
      <c r="E20" t="s">
        <v>44</v>
      </c>
      <c r="F20" t="s">
        <v>30</v>
      </c>
      <c r="G20" s="19">
        <v>45281</v>
      </c>
      <c r="H20" t="s">
        <v>191</v>
      </c>
      <c r="I20" t="s">
        <v>3</v>
      </c>
      <c r="J20" t="s">
        <v>28</v>
      </c>
      <c r="K20">
        <v>42</v>
      </c>
      <c r="L20" t="s">
        <v>7</v>
      </c>
      <c r="M20">
        <v>1</v>
      </c>
      <c r="N20">
        <v>300</v>
      </c>
      <c r="O20">
        <v>300</v>
      </c>
      <c r="P20">
        <v>4.5</v>
      </c>
      <c r="Q20">
        <v>6</v>
      </c>
    </row>
    <row r="21" spans="1:17">
      <c r="A21">
        <v>861</v>
      </c>
      <c r="B21">
        <v>17</v>
      </c>
      <c r="C21">
        <v>2</v>
      </c>
      <c r="D21">
        <v>2023</v>
      </c>
      <c r="E21" t="s">
        <v>25</v>
      </c>
      <c r="F21" t="s">
        <v>41</v>
      </c>
      <c r="G21" s="19">
        <v>44974</v>
      </c>
      <c r="H21" t="s">
        <v>192</v>
      </c>
      <c r="I21" t="s">
        <v>3</v>
      </c>
      <c r="J21" t="s">
        <v>28</v>
      </c>
      <c r="K21">
        <v>41</v>
      </c>
      <c r="L21" t="s">
        <v>7</v>
      </c>
      <c r="M21">
        <v>3</v>
      </c>
      <c r="N21">
        <v>30</v>
      </c>
      <c r="O21">
        <v>90</v>
      </c>
      <c r="P21">
        <v>1.3499999999999999</v>
      </c>
      <c r="Q21">
        <v>1.8</v>
      </c>
    </row>
    <row r="22" spans="1:17">
      <c r="A22">
        <v>852</v>
      </c>
      <c r="B22">
        <v>12</v>
      </c>
      <c r="C22">
        <v>10</v>
      </c>
      <c r="D22">
        <v>2023</v>
      </c>
      <c r="E22" t="s">
        <v>44</v>
      </c>
      <c r="F22" t="s">
        <v>32</v>
      </c>
      <c r="G22" s="19">
        <v>45211</v>
      </c>
      <c r="H22" t="s">
        <v>193</v>
      </c>
      <c r="I22" t="s">
        <v>3</v>
      </c>
      <c r="J22" t="s">
        <v>28</v>
      </c>
      <c r="K22">
        <v>41</v>
      </c>
      <c r="L22" t="s">
        <v>7</v>
      </c>
      <c r="M22">
        <v>1</v>
      </c>
      <c r="N22">
        <v>300</v>
      </c>
      <c r="O22">
        <v>300</v>
      </c>
      <c r="P22">
        <v>4.5</v>
      </c>
      <c r="Q22">
        <v>6</v>
      </c>
    </row>
    <row r="23" spans="1:17">
      <c r="A23">
        <v>849</v>
      </c>
      <c r="B23">
        <v>4</v>
      </c>
      <c r="C23">
        <v>5</v>
      </c>
      <c r="D23">
        <v>2023</v>
      </c>
      <c r="E23" t="s">
        <v>44</v>
      </c>
      <c r="F23" t="s">
        <v>35</v>
      </c>
      <c r="G23" s="19">
        <v>45050</v>
      </c>
      <c r="H23" t="s">
        <v>194</v>
      </c>
      <c r="I23" t="s">
        <v>4</v>
      </c>
      <c r="J23" t="s">
        <v>28</v>
      </c>
      <c r="K23">
        <v>32</v>
      </c>
      <c r="L23" t="s">
        <v>7</v>
      </c>
      <c r="M23">
        <v>2</v>
      </c>
      <c r="N23">
        <v>25</v>
      </c>
      <c r="O23">
        <v>50</v>
      </c>
      <c r="P23">
        <v>0.75</v>
      </c>
      <c r="Q23">
        <v>1</v>
      </c>
    </row>
    <row r="24" spans="1:17">
      <c r="A24">
        <v>844</v>
      </c>
      <c r="B24">
        <v>12</v>
      </c>
      <c r="C24">
        <v>10</v>
      </c>
      <c r="D24">
        <v>2023</v>
      </c>
      <c r="E24" t="s">
        <v>44</v>
      </c>
      <c r="F24" t="s">
        <v>32</v>
      </c>
      <c r="G24" s="19">
        <v>45211</v>
      </c>
      <c r="H24" t="s">
        <v>195</v>
      </c>
      <c r="I24" t="s">
        <v>4</v>
      </c>
      <c r="J24" t="s">
        <v>28</v>
      </c>
      <c r="K24">
        <v>35</v>
      </c>
      <c r="L24" t="s">
        <v>7</v>
      </c>
      <c r="M24">
        <v>3</v>
      </c>
      <c r="N24">
        <v>50</v>
      </c>
      <c r="O24">
        <v>150</v>
      </c>
      <c r="P24">
        <v>2.25</v>
      </c>
      <c r="Q24">
        <v>3</v>
      </c>
    </row>
    <row r="25" spans="1:17">
      <c r="A25">
        <v>842</v>
      </c>
      <c r="B25">
        <v>26</v>
      </c>
      <c r="C25">
        <v>12</v>
      </c>
      <c r="D25">
        <v>2023</v>
      </c>
      <c r="E25" t="s">
        <v>29</v>
      </c>
      <c r="F25" t="s">
        <v>30</v>
      </c>
      <c r="G25" s="19">
        <v>45286</v>
      </c>
      <c r="H25" t="s">
        <v>196</v>
      </c>
      <c r="I25" t="s">
        <v>3</v>
      </c>
      <c r="J25" t="s">
        <v>28</v>
      </c>
      <c r="K25">
        <v>47</v>
      </c>
      <c r="L25" t="s">
        <v>7</v>
      </c>
      <c r="M25">
        <v>2</v>
      </c>
      <c r="N25">
        <v>300</v>
      </c>
      <c r="O25">
        <v>600</v>
      </c>
      <c r="P25">
        <v>9</v>
      </c>
      <c r="Q25">
        <v>12</v>
      </c>
    </row>
    <row r="26" spans="1:17">
      <c r="A26">
        <v>23</v>
      </c>
      <c r="B26">
        <v>12</v>
      </c>
      <c r="C26">
        <v>4</v>
      </c>
      <c r="D26">
        <v>2023</v>
      </c>
      <c r="E26" t="s">
        <v>34</v>
      </c>
      <c r="F26" t="s">
        <v>39</v>
      </c>
      <c r="G26" s="19">
        <v>45028</v>
      </c>
      <c r="H26" t="s">
        <v>197</v>
      </c>
      <c r="I26" t="s">
        <v>3</v>
      </c>
      <c r="J26" t="s">
        <v>28</v>
      </c>
      <c r="K26">
        <v>35</v>
      </c>
      <c r="L26" t="s">
        <v>7</v>
      </c>
      <c r="M26">
        <v>4</v>
      </c>
      <c r="N26">
        <v>30</v>
      </c>
      <c r="O26">
        <v>120</v>
      </c>
      <c r="P26">
        <v>1.7999999999999998</v>
      </c>
      <c r="Q26">
        <v>2.4</v>
      </c>
    </row>
    <row r="27" spans="1:17">
      <c r="A27">
        <v>24</v>
      </c>
      <c r="B27">
        <v>29</v>
      </c>
      <c r="C27">
        <v>11</v>
      </c>
      <c r="D27">
        <v>2023</v>
      </c>
      <c r="E27" t="s">
        <v>34</v>
      </c>
      <c r="F27" t="s">
        <v>26</v>
      </c>
      <c r="G27" s="19">
        <v>45259</v>
      </c>
      <c r="H27" t="s">
        <v>198</v>
      </c>
      <c r="I27" t="s">
        <v>3</v>
      </c>
      <c r="J27" t="s">
        <v>28</v>
      </c>
      <c r="K27">
        <v>49</v>
      </c>
      <c r="L27" t="s">
        <v>7</v>
      </c>
      <c r="M27">
        <v>1</v>
      </c>
      <c r="N27">
        <v>300</v>
      </c>
      <c r="O27">
        <v>300</v>
      </c>
      <c r="P27">
        <v>4.5</v>
      </c>
      <c r="Q27">
        <v>6</v>
      </c>
    </row>
    <row r="28" spans="1:17">
      <c r="A28">
        <v>835</v>
      </c>
      <c r="B28">
        <v>7</v>
      </c>
      <c r="C28">
        <v>9</v>
      </c>
      <c r="D28">
        <v>2023</v>
      </c>
      <c r="E28" t="s">
        <v>44</v>
      </c>
      <c r="F28" t="s">
        <v>48</v>
      </c>
      <c r="G28" s="19">
        <v>45176</v>
      </c>
      <c r="H28" t="s">
        <v>199</v>
      </c>
      <c r="I28" t="s">
        <v>4</v>
      </c>
      <c r="J28" t="s">
        <v>28</v>
      </c>
      <c r="K28">
        <v>37</v>
      </c>
      <c r="L28" t="s">
        <v>7</v>
      </c>
      <c r="M28">
        <v>4</v>
      </c>
      <c r="N28">
        <v>50</v>
      </c>
      <c r="O28">
        <v>200</v>
      </c>
      <c r="P28">
        <v>3</v>
      </c>
      <c r="Q28">
        <v>4</v>
      </c>
    </row>
    <row r="29" spans="1:17">
      <c r="A29">
        <v>826</v>
      </c>
      <c r="B29">
        <v>19</v>
      </c>
      <c r="C29">
        <v>10</v>
      </c>
      <c r="D29">
        <v>2023</v>
      </c>
      <c r="E29" t="s">
        <v>44</v>
      </c>
      <c r="F29" t="s">
        <v>32</v>
      </c>
      <c r="G29" s="19">
        <v>45218</v>
      </c>
      <c r="H29" t="s">
        <v>200</v>
      </c>
      <c r="I29" t="s">
        <v>3</v>
      </c>
      <c r="J29" t="s">
        <v>28</v>
      </c>
      <c r="K29">
        <v>46</v>
      </c>
      <c r="L29" t="s">
        <v>7</v>
      </c>
      <c r="M29">
        <v>1</v>
      </c>
      <c r="N29">
        <v>300</v>
      </c>
      <c r="O29">
        <v>300</v>
      </c>
      <c r="P29">
        <v>4.5</v>
      </c>
      <c r="Q29">
        <v>6</v>
      </c>
    </row>
    <row r="30" spans="1:17">
      <c r="A30">
        <v>803</v>
      </c>
      <c r="B30">
        <v>22</v>
      </c>
      <c r="C30">
        <v>11</v>
      </c>
      <c r="D30">
        <v>2023</v>
      </c>
      <c r="E30" t="s">
        <v>34</v>
      </c>
      <c r="F30" t="s">
        <v>26</v>
      </c>
      <c r="G30" s="19">
        <v>45252</v>
      </c>
      <c r="H30" t="s">
        <v>201</v>
      </c>
      <c r="I30" t="s">
        <v>4</v>
      </c>
      <c r="J30" t="s">
        <v>28</v>
      </c>
      <c r="K30">
        <v>39</v>
      </c>
      <c r="L30" t="s">
        <v>7</v>
      </c>
      <c r="M30">
        <v>4</v>
      </c>
      <c r="N30">
        <v>25</v>
      </c>
      <c r="O30">
        <v>100</v>
      </c>
      <c r="P30">
        <v>1.5</v>
      </c>
      <c r="Q30">
        <v>2</v>
      </c>
    </row>
    <row r="31" spans="1:17">
      <c r="A31">
        <v>800</v>
      </c>
      <c r="B31">
        <v>24</v>
      </c>
      <c r="C31">
        <v>2</v>
      </c>
      <c r="D31">
        <v>2023</v>
      </c>
      <c r="E31" t="s">
        <v>25</v>
      </c>
      <c r="F31" t="s">
        <v>41</v>
      </c>
      <c r="G31" s="19">
        <v>44981</v>
      </c>
      <c r="H31" t="s">
        <v>202</v>
      </c>
      <c r="I31" t="s">
        <v>4</v>
      </c>
      <c r="J31" t="s">
        <v>28</v>
      </c>
      <c r="K31">
        <v>32</v>
      </c>
      <c r="L31" t="s">
        <v>7</v>
      </c>
      <c r="M31">
        <v>4</v>
      </c>
      <c r="N31">
        <v>300</v>
      </c>
      <c r="O31">
        <v>1200</v>
      </c>
      <c r="P31">
        <v>18</v>
      </c>
      <c r="Q31">
        <v>24</v>
      </c>
    </row>
    <row r="32" spans="1:17">
      <c r="A32">
        <v>797</v>
      </c>
      <c r="B32">
        <v>7</v>
      </c>
      <c r="C32">
        <v>1</v>
      </c>
      <c r="D32">
        <v>2023</v>
      </c>
      <c r="E32" t="s">
        <v>37</v>
      </c>
      <c r="F32" t="s">
        <v>75</v>
      </c>
      <c r="G32" s="19">
        <v>44933</v>
      </c>
      <c r="H32" t="s">
        <v>203</v>
      </c>
      <c r="I32" t="s">
        <v>4</v>
      </c>
      <c r="J32" t="s">
        <v>28</v>
      </c>
      <c r="K32">
        <v>40</v>
      </c>
      <c r="L32" t="s">
        <v>7</v>
      </c>
      <c r="M32">
        <v>3</v>
      </c>
      <c r="N32">
        <v>25</v>
      </c>
      <c r="O32">
        <v>75</v>
      </c>
      <c r="P32">
        <v>1.125</v>
      </c>
      <c r="Q32">
        <v>1.5</v>
      </c>
    </row>
    <row r="33" spans="1:17">
      <c r="A33">
        <v>786</v>
      </c>
      <c r="B33">
        <v>17</v>
      </c>
      <c r="C33">
        <v>10</v>
      </c>
      <c r="D33">
        <v>2023</v>
      </c>
      <c r="E33" t="s">
        <v>29</v>
      </c>
      <c r="F33" t="s">
        <v>32</v>
      </c>
      <c r="G33" s="19">
        <v>45216</v>
      </c>
      <c r="H33" t="s">
        <v>204</v>
      </c>
      <c r="I33" t="s">
        <v>4</v>
      </c>
      <c r="J33" t="s">
        <v>28</v>
      </c>
      <c r="K33">
        <v>48</v>
      </c>
      <c r="L33" t="s">
        <v>7</v>
      </c>
      <c r="M33">
        <v>4</v>
      </c>
      <c r="N33">
        <v>25</v>
      </c>
      <c r="O33">
        <v>100</v>
      </c>
      <c r="P33">
        <v>1.5</v>
      </c>
      <c r="Q33">
        <v>2</v>
      </c>
    </row>
    <row r="34" spans="1:17">
      <c r="A34">
        <v>776</v>
      </c>
      <c r="B34">
        <v>31</v>
      </c>
      <c r="C34">
        <v>10</v>
      </c>
      <c r="D34">
        <v>2023</v>
      </c>
      <c r="E34" t="s">
        <v>29</v>
      </c>
      <c r="F34" t="s">
        <v>32</v>
      </c>
      <c r="G34" s="19">
        <v>45230</v>
      </c>
      <c r="H34" t="s">
        <v>205</v>
      </c>
      <c r="I34" t="s">
        <v>4</v>
      </c>
      <c r="J34" t="s">
        <v>28</v>
      </c>
      <c r="K34">
        <v>35</v>
      </c>
      <c r="L34" t="s">
        <v>7</v>
      </c>
      <c r="M34">
        <v>3</v>
      </c>
      <c r="N34">
        <v>30</v>
      </c>
      <c r="O34">
        <v>90</v>
      </c>
      <c r="P34">
        <v>1.3499999999999999</v>
      </c>
      <c r="Q34">
        <v>1.8</v>
      </c>
    </row>
    <row r="35" spans="1:17">
      <c r="A35">
        <v>774</v>
      </c>
      <c r="B35">
        <v>12</v>
      </c>
      <c r="C35">
        <v>4</v>
      </c>
      <c r="D35">
        <v>2023</v>
      </c>
      <c r="E35" t="s">
        <v>34</v>
      </c>
      <c r="F35" t="s">
        <v>39</v>
      </c>
      <c r="G35" s="19">
        <v>45028</v>
      </c>
      <c r="H35" t="s">
        <v>206</v>
      </c>
      <c r="I35" t="s">
        <v>3</v>
      </c>
      <c r="J35" t="s">
        <v>28</v>
      </c>
      <c r="K35">
        <v>40</v>
      </c>
      <c r="L35" t="s">
        <v>7</v>
      </c>
      <c r="M35">
        <v>2</v>
      </c>
      <c r="N35">
        <v>25</v>
      </c>
      <c r="O35">
        <v>50</v>
      </c>
      <c r="P35">
        <v>0.75</v>
      </c>
      <c r="Q35">
        <v>1</v>
      </c>
    </row>
    <row r="36" spans="1:17">
      <c r="A36">
        <v>770</v>
      </c>
      <c r="B36">
        <v>22</v>
      </c>
      <c r="C36">
        <v>10</v>
      </c>
      <c r="D36">
        <v>2023</v>
      </c>
      <c r="E36" t="s">
        <v>69</v>
      </c>
      <c r="F36" t="s">
        <v>32</v>
      </c>
      <c r="G36" s="19">
        <v>45221</v>
      </c>
      <c r="H36" t="s">
        <v>207</v>
      </c>
      <c r="I36" t="s">
        <v>4</v>
      </c>
      <c r="J36" t="s">
        <v>28</v>
      </c>
      <c r="K36">
        <v>32</v>
      </c>
      <c r="L36" t="s">
        <v>7</v>
      </c>
      <c r="M36">
        <v>1</v>
      </c>
      <c r="N36">
        <v>50</v>
      </c>
      <c r="O36">
        <v>50</v>
      </c>
      <c r="P36">
        <v>0.75</v>
      </c>
      <c r="Q36">
        <v>1</v>
      </c>
    </row>
    <row r="37" spans="1:17">
      <c r="A37">
        <v>765</v>
      </c>
      <c r="B37">
        <v>9</v>
      </c>
      <c r="C37">
        <v>6</v>
      </c>
      <c r="D37">
        <v>2023</v>
      </c>
      <c r="E37" t="s">
        <v>25</v>
      </c>
      <c r="F37" t="s">
        <v>59</v>
      </c>
      <c r="G37" s="19">
        <v>45086</v>
      </c>
      <c r="H37" t="s">
        <v>208</v>
      </c>
      <c r="I37" t="s">
        <v>4</v>
      </c>
      <c r="J37" t="s">
        <v>28</v>
      </c>
      <c r="K37">
        <v>43</v>
      </c>
      <c r="L37" t="s">
        <v>7</v>
      </c>
      <c r="M37">
        <v>4</v>
      </c>
      <c r="N37">
        <v>50</v>
      </c>
      <c r="O37">
        <v>200</v>
      </c>
      <c r="P37">
        <v>3</v>
      </c>
      <c r="Q37">
        <v>4</v>
      </c>
    </row>
    <row r="38" spans="1:17">
      <c r="A38">
        <v>764</v>
      </c>
      <c r="B38">
        <v>25</v>
      </c>
      <c r="C38">
        <v>3</v>
      </c>
      <c r="D38">
        <v>2023</v>
      </c>
      <c r="E38" t="s">
        <v>37</v>
      </c>
      <c r="F38" t="s">
        <v>71</v>
      </c>
      <c r="G38" s="19">
        <v>45010</v>
      </c>
      <c r="H38" t="s">
        <v>209</v>
      </c>
      <c r="I38" t="s">
        <v>3</v>
      </c>
      <c r="J38" t="s">
        <v>28</v>
      </c>
      <c r="K38">
        <v>40</v>
      </c>
      <c r="L38" t="s">
        <v>7</v>
      </c>
      <c r="M38">
        <v>1</v>
      </c>
      <c r="N38">
        <v>25</v>
      </c>
      <c r="O38">
        <v>25</v>
      </c>
      <c r="P38">
        <v>0.375</v>
      </c>
      <c r="Q38">
        <v>0.5</v>
      </c>
    </row>
    <row r="39" spans="1:17">
      <c r="A39">
        <v>763</v>
      </c>
      <c r="B39">
        <v>28</v>
      </c>
      <c r="C39">
        <v>2</v>
      </c>
      <c r="D39">
        <v>2023</v>
      </c>
      <c r="E39" t="s">
        <v>29</v>
      </c>
      <c r="F39" t="s">
        <v>41</v>
      </c>
      <c r="G39" s="19">
        <v>44985</v>
      </c>
      <c r="H39" t="s">
        <v>210</v>
      </c>
      <c r="I39" t="s">
        <v>4</v>
      </c>
      <c r="J39" t="s">
        <v>28</v>
      </c>
      <c r="K39">
        <v>34</v>
      </c>
      <c r="L39" t="s">
        <v>7</v>
      </c>
      <c r="M39">
        <v>2</v>
      </c>
      <c r="N39">
        <v>25</v>
      </c>
      <c r="O39">
        <v>50</v>
      </c>
      <c r="P39">
        <v>0.75</v>
      </c>
      <c r="Q39">
        <v>1</v>
      </c>
    </row>
    <row r="40" spans="1:17">
      <c r="A40">
        <v>761</v>
      </c>
      <c r="B40">
        <v>7</v>
      </c>
      <c r="C40">
        <v>11</v>
      </c>
      <c r="D40">
        <v>2023</v>
      </c>
      <c r="E40" t="s">
        <v>29</v>
      </c>
      <c r="F40" t="s">
        <v>26</v>
      </c>
      <c r="G40" s="19">
        <v>45237</v>
      </c>
      <c r="H40" t="s">
        <v>211</v>
      </c>
      <c r="I40" t="s">
        <v>3</v>
      </c>
      <c r="J40" t="s">
        <v>28</v>
      </c>
      <c r="K40">
        <v>33</v>
      </c>
      <c r="L40" t="s">
        <v>7</v>
      </c>
      <c r="M40">
        <v>1</v>
      </c>
      <c r="N40">
        <v>500</v>
      </c>
      <c r="O40">
        <v>500</v>
      </c>
      <c r="P40">
        <v>7.5</v>
      </c>
      <c r="Q40">
        <v>10</v>
      </c>
    </row>
    <row r="41" spans="1:17">
      <c r="A41">
        <v>753</v>
      </c>
      <c r="B41">
        <v>28</v>
      </c>
      <c r="C41">
        <v>2</v>
      </c>
      <c r="D41">
        <v>2023</v>
      </c>
      <c r="E41" t="s">
        <v>29</v>
      </c>
      <c r="F41" t="s">
        <v>41</v>
      </c>
      <c r="G41" s="19">
        <v>44985</v>
      </c>
      <c r="H41" t="s">
        <v>212</v>
      </c>
      <c r="I41" t="s">
        <v>3</v>
      </c>
      <c r="J41" t="s">
        <v>28</v>
      </c>
      <c r="K41">
        <v>32</v>
      </c>
      <c r="L41" t="s">
        <v>7</v>
      </c>
      <c r="M41">
        <v>1</v>
      </c>
      <c r="N41">
        <v>30</v>
      </c>
      <c r="O41">
        <v>30</v>
      </c>
      <c r="P41">
        <v>0.44999999999999996</v>
      </c>
      <c r="Q41">
        <v>0.6</v>
      </c>
    </row>
    <row r="42" spans="1:17">
      <c r="A42">
        <v>751</v>
      </c>
      <c r="B42">
        <v>31</v>
      </c>
      <c r="C42">
        <v>8</v>
      </c>
      <c r="D42">
        <v>2023</v>
      </c>
      <c r="E42" t="s">
        <v>44</v>
      </c>
      <c r="F42" t="s">
        <v>62</v>
      </c>
      <c r="G42" s="19">
        <v>45169</v>
      </c>
      <c r="H42" t="s">
        <v>213</v>
      </c>
      <c r="I42" t="s">
        <v>3</v>
      </c>
      <c r="J42" t="s">
        <v>28</v>
      </c>
      <c r="K42">
        <v>42</v>
      </c>
      <c r="L42" t="s">
        <v>7</v>
      </c>
      <c r="M42">
        <v>2</v>
      </c>
      <c r="N42">
        <v>25</v>
      </c>
      <c r="O42">
        <v>50</v>
      </c>
      <c r="P42">
        <v>0.75</v>
      </c>
      <c r="Q42">
        <v>1</v>
      </c>
    </row>
    <row r="43" spans="1:17">
      <c r="A43">
        <v>750</v>
      </c>
      <c r="B43">
        <v>6</v>
      </c>
      <c r="C43">
        <v>3</v>
      </c>
      <c r="D43">
        <v>2023</v>
      </c>
      <c r="E43" t="s">
        <v>46</v>
      </c>
      <c r="F43" t="s">
        <v>71</v>
      </c>
      <c r="G43" s="19">
        <v>44991</v>
      </c>
      <c r="H43" t="s">
        <v>214</v>
      </c>
      <c r="I43" t="s">
        <v>3</v>
      </c>
      <c r="J43" t="s">
        <v>28</v>
      </c>
      <c r="K43">
        <v>35</v>
      </c>
      <c r="L43" t="s">
        <v>7</v>
      </c>
      <c r="M43">
        <v>3</v>
      </c>
      <c r="N43">
        <v>25</v>
      </c>
      <c r="O43">
        <v>75</v>
      </c>
      <c r="P43">
        <v>1.125</v>
      </c>
      <c r="Q43">
        <v>1.5</v>
      </c>
    </row>
    <row r="44" spans="1:17">
      <c r="A44">
        <v>41</v>
      </c>
      <c r="B44">
        <v>22</v>
      </c>
      <c r="C44">
        <v>2</v>
      </c>
      <c r="D44">
        <v>2023</v>
      </c>
      <c r="E44" t="s">
        <v>34</v>
      </c>
      <c r="F44" t="s">
        <v>41</v>
      </c>
      <c r="G44" s="19">
        <v>44979</v>
      </c>
      <c r="H44" t="s">
        <v>215</v>
      </c>
      <c r="I44" t="s">
        <v>4</v>
      </c>
      <c r="J44" t="s">
        <v>28</v>
      </c>
      <c r="K44">
        <v>34</v>
      </c>
      <c r="L44" t="s">
        <v>7</v>
      </c>
      <c r="M44">
        <v>2</v>
      </c>
      <c r="N44">
        <v>25</v>
      </c>
      <c r="O44">
        <v>50</v>
      </c>
      <c r="P44">
        <v>0.75</v>
      </c>
      <c r="Q44">
        <v>1</v>
      </c>
    </row>
    <row r="45" spans="1:17">
      <c r="A45">
        <v>746</v>
      </c>
      <c r="B45">
        <v>11</v>
      </c>
      <c r="C45">
        <v>1</v>
      </c>
      <c r="D45">
        <v>2023</v>
      </c>
      <c r="E45" t="s">
        <v>34</v>
      </c>
      <c r="F45" t="s">
        <v>75</v>
      </c>
      <c r="G45" s="19">
        <v>44937</v>
      </c>
      <c r="H45" t="s">
        <v>216</v>
      </c>
      <c r="I45" t="s">
        <v>3</v>
      </c>
      <c r="J45" t="s">
        <v>28</v>
      </c>
      <c r="K45">
        <v>33</v>
      </c>
      <c r="L45" t="s">
        <v>7</v>
      </c>
      <c r="M45">
        <v>3</v>
      </c>
      <c r="N45">
        <v>30</v>
      </c>
      <c r="O45">
        <v>90</v>
      </c>
      <c r="P45">
        <v>1.3499999999999999</v>
      </c>
      <c r="Q45">
        <v>1.8</v>
      </c>
    </row>
    <row r="46" spans="1:17">
      <c r="A46">
        <v>43</v>
      </c>
      <c r="B46">
        <v>14</v>
      </c>
      <c r="C46">
        <v>7</v>
      </c>
      <c r="D46">
        <v>2023</v>
      </c>
      <c r="E46" t="s">
        <v>25</v>
      </c>
      <c r="F46" t="s">
        <v>51</v>
      </c>
      <c r="G46" s="19">
        <v>45121</v>
      </c>
      <c r="H46" t="s">
        <v>217</v>
      </c>
      <c r="I46" t="s">
        <v>3</v>
      </c>
      <c r="J46" t="s">
        <v>28</v>
      </c>
      <c r="K46">
        <v>48</v>
      </c>
      <c r="L46" t="s">
        <v>7</v>
      </c>
      <c r="M46">
        <v>1</v>
      </c>
      <c r="N46">
        <v>300</v>
      </c>
      <c r="O46">
        <v>300</v>
      </c>
      <c r="P46">
        <v>4.5</v>
      </c>
      <c r="Q46">
        <v>6</v>
      </c>
    </row>
    <row r="47" spans="1:17">
      <c r="A47">
        <v>741</v>
      </c>
      <c r="B47">
        <v>30</v>
      </c>
      <c r="C47">
        <v>11</v>
      </c>
      <c r="D47">
        <v>2023</v>
      </c>
      <c r="E47" t="s">
        <v>44</v>
      </c>
      <c r="F47" t="s">
        <v>26</v>
      </c>
      <c r="G47" s="19">
        <v>45260</v>
      </c>
      <c r="H47" t="s">
        <v>218</v>
      </c>
      <c r="I47" t="s">
        <v>4</v>
      </c>
      <c r="J47" t="s">
        <v>28</v>
      </c>
      <c r="K47">
        <v>48</v>
      </c>
      <c r="L47" t="s">
        <v>7</v>
      </c>
      <c r="M47">
        <v>1</v>
      </c>
      <c r="N47">
        <v>300</v>
      </c>
      <c r="O47">
        <v>300</v>
      </c>
      <c r="P47">
        <v>4.5</v>
      </c>
      <c r="Q47">
        <v>6</v>
      </c>
    </row>
    <row r="48" spans="1:17">
      <c r="A48">
        <v>738</v>
      </c>
      <c r="B48">
        <v>25</v>
      </c>
      <c r="C48">
        <v>4</v>
      </c>
      <c r="D48">
        <v>2023</v>
      </c>
      <c r="E48" t="s">
        <v>29</v>
      </c>
      <c r="F48" t="s">
        <v>39</v>
      </c>
      <c r="G48" s="19">
        <v>45041</v>
      </c>
      <c r="H48" t="s">
        <v>219</v>
      </c>
      <c r="I48" t="s">
        <v>4</v>
      </c>
      <c r="J48" t="s">
        <v>28</v>
      </c>
      <c r="K48">
        <v>41</v>
      </c>
      <c r="L48" t="s">
        <v>7</v>
      </c>
      <c r="M48">
        <v>2</v>
      </c>
      <c r="N48">
        <v>50</v>
      </c>
      <c r="O48">
        <v>100</v>
      </c>
      <c r="P48">
        <v>1.5</v>
      </c>
      <c r="Q48">
        <v>2</v>
      </c>
    </row>
    <row r="49" spans="1:17">
      <c r="A49">
        <v>737</v>
      </c>
      <c r="B49">
        <v>29</v>
      </c>
      <c r="C49">
        <v>6</v>
      </c>
      <c r="D49">
        <v>2023</v>
      </c>
      <c r="E49" t="s">
        <v>44</v>
      </c>
      <c r="F49" t="s">
        <v>59</v>
      </c>
      <c r="G49" s="19">
        <v>45106</v>
      </c>
      <c r="H49" t="s">
        <v>220</v>
      </c>
      <c r="I49" t="s">
        <v>3</v>
      </c>
      <c r="J49" t="s">
        <v>28</v>
      </c>
      <c r="K49">
        <v>33</v>
      </c>
      <c r="L49" t="s">
        <v>7</v>
      </c>
      <c r="M49">
        <v>1</v>
      </c>
      <c r="N49">
        <v>50</v>
      </c>
      <c r="O49">
        <v>50</v>
      </c>
      <c r="P49">
        <v>0.75</v>
      </c>
      <c r="Q49">
        <v>1</v>
      </c>
    </row>
    <row r="50" spans="1:17">
      <c r="A50">
        <v>730</v>
      </c>
      <c r="B50">
        <v>4</v>
      </c>
      <c r="C50">
        <v>8</v>
      </c>
      <c r="D50">
        <v>2023</v>
      </c>
      <c r="E50" t="s">
        <v>25</v>
      </c>
      <c r="F50" t="s">
        <v>62</v>
      </c>
      <c r="G50" s="19">
        <v>45142</v>
      </c>
      <c r="H50" t="s">
        <v>221</v>
      </c>
      <c r="I50" t="s">
        <v>3</v>
      </c>
      <c r="J50" t="s">
        <v>28</v>
      </c>
      <c r="K50">
        <v>36</v>
      </c>
      <c r="L50" t="s">
        <v>7</v>
      </c>
      <c r="M50">
        <v>2</v>
      </c>
      <c r="N50">
        <v>25</v>
      </c>
      <c r="O50">
        <v>50</v>
      </c>
      <c r="P50">
        <v>0.75</v>
      </c>
      <c r="Q50">
        <v>1</v>
      </c>
    </row>
    <row r="51" spans="1:17">
      <c r="A51">
        <v>726</v>
      </c>
      <c r="B51">
        <v>17</v>
      </c>
      <c r="C51">
        <v>6</v>
      </c>
      <c r="D51">
        <v>2023</v>
      </c>
      <c r="E51" t="s">
        <v>37</v>
      </c>
      <c r="F51" t="s">
        <v>59</v>
      </c>
      <c r="G51" s="19">
        <v>45094</v>
      </c>
      <c r="H51" t="s">
        <v>222</v>
      </c>
      <c r="I51" t="s">
        <v>4</v>
      </c>
      <c r="J51" t="s">
        <v>28</v>
      </c>
      <c r="K51">
        <v>47</v>
      </c>
      <c r="L51" t="s">
        <v>7</v>
      </c>
      <c r="M51">
        <v>4</v>
      </c>
      <c r="N51">
        <v>300</v>
      </c>
      <c r="O51">
        <v>1200</v>
      </c>
      <c r="P51">
        <v>18</v>
      </c>
      <c r="Q51">
        <v>24</v>
      </c>
    </row>
    <row r="52" spans="1:17">
      <c r="A52">
        <v>719</v>
      </c>
      <c r="B52">
        <v>4</v>
      </c>
      <c r="C52">
        <v>4</v>
      </c>
      <c r="D52">
        <v>2023</v>
      </c>
      <c r="E52" t="s">
        <v>29</v>
      </c>
      <c r="F52" t="s">
        <v>39</v>
      </c>
      <c r="G52" s="19">
        <v>45020</v>
      </c>
      <c r="H52" t="s">
        <v>223</v>
      </c>
      <c r="I52" t="s">
        <v>3</v>
      </c>
      <c r="J52" t="s">
        <v>28</v>
      </c>
      <c r="K52">
        <v>42</v>
      </c>
      <c r="L52" t="s">
        <v>7</v>
      </c>
      <c r="M52">
        <v>2</v>
      </c>
      <c r="N52">
        <v>30</v>
      </c>
      <c r="O52">
        <v>60</v>
      </c>
      <c r="P52">
        <v>0.89999999999999991</v>
      </c>
      <c r="Q52">
        <v>1.2</v>
      </c>
    </row>
    <row r="53" spans="1:17">
      <c r="A53">
        <v>699</v>
      </c>
      <c r="B53">
        <v>22</v>
      </c>
      <c r="C53">
        <v>6</v>
      </c>
      <c r="D53">
        <v>2023</v>
      </c>
      <c r="E53" t="s">
        <v>44</v>
      </c>
      <c r="F53" t="s">
        <v>59</v>
      </c>
      <c r="G53" s="19">
        <v>45099</v>
      </c>
      <c r="H53" t="s">
        <v>224</v>
      </c>
      <c r="I53" t="s">
        <v>3</v>
      </c>
      <c r="J53" t="s">
        <v>28</v>
      </c>
      <c r="K53">
        <v>37</v>
      </c>
      <c r="L53" t="s">
        <v>7</v>
      </c>
      <c r="M53">
        <v>4</v>
      </c>
      <c r="N53">
        <v>30</v>
      </c>
      <c r="O53">
        <v>120</v>
      </c>
      <c r="P53">
        <v>1.7999999999999998</v>
      </c>
      <c r="Q53">
        <v>2.4</v>
      </c>
    </row>
    <row r="54" spans="1:17">
      <c r="A54">
        <v>675</v>
      </c>
      <c r="B54">
        <v>4</v>
      </c>
      <c r="C54">
        <v>8</v>
      </c>
      <c r="D54">
        <v>2023</v>
      </c>
      <c r="E54" t="s">
        <v>25</v>
      </c>
      <c r="F54" t="s">
        <v>62</v>
      </c>
      <c r="G54" s="19">
        <v>45142</v>
      </c>
      <c r="H54" t="s">
        <v>225</v>
      </c>
      <c r="I54" t="s">
        <v>3</v>
      </c>
      <c r="J54" t="s">
        <v>28</v>
      </c>
      <c r="K54">
        <v>45</v>
      </c>
      <c r="L54" t="s">
        <v>7</v>
      </c>
      <c r="M54">
        <v>2</v>
      </c>
      <c r="N54">
        <v>30</v>
      </c>
      <c r="O54">
        <v>60</v>
      </c>
      <c r="P54">
        <v>0.89999999999999991</v>
      </c>
      <c r="Q54">
        <v>1.2</v>
      </c>
    </row>
    <row r="55" spans="1:17">
      <c r="A55">
        <v>674</v>
      </c>
      <c r="B55">
        <v>16</v>
      </c>
      <c r="C55">
        <v>4</v>
      </c>
      <c r="D55">
        <v>2023</v>
      </c>
      <c r="E55" t="s">
        <v>69</v>
      </c>
      <c r="F55" t="s">
        <v>39</v>
      </c>
      <c r="G55" s="19">
        <v>45032</v>
      </c>
      <c r="H55" t="s">
        <v>226</v>
      </c>
      <c r="I55" t="s">
        <v>3</v>
      </c>
      <c r="J55" t="s">
        <v>28</v>
      </c>
      <c r="K55">
        <v>38</v>
      </c>
      <c r="L55" t="s">
        <v>7</v>
      </c>
      <c r="M55">
        <v>1</v>
      </c>
      <c r="N55">
        <v>300</v>
      </c>
      <c r="O55">
        <v>300</v>
      </c>
      <c r="P55">
        <v>4.5</v>
      </c>
      <c r="Q55">
        <v>6</v>
      </c>
    </row>
    <row r="56" spans="1:17">
      <c r="A56">
        <v>673</v>
      </c>
      <c r="B56">
        <v>1</v>
      </c>
      <c r="C56">
        <v>2</v>
      </c>
      <c r="D56">
        <v>2023</v>
      </c>
      <c r="E56" t="s">
        <v>34</v>
      </c>
      <c r="F56" t="s">
        <v>41</v>
      </c>
      <c r="G56" s="19">
        <v>44958</v>
      </c>
      <c r="H56" t="s">
        <v>227</v>
      </c>
      <c r="I56" t="s">
        <v>3</v>
      </c>
      <c r="J56" t="s">
        <v>28</v>
      </c>
      <c r="K56">
        <v>43</v>
      </c>
      <c r="L56" t="s">
        <v>7</v>
      </c>
      <c r="M56">
        <v>3</v>
      </c>
      <c r="N56">
        <v>500</v>
      </c>
      <c r="O56">
        <v>1500</v>
      </c>
      <c r="P56">
        <v>22.5</v>
      </c>
      <c r="Q56">
        <v>30</v>
      </c>
    </row>
    <row r="57" spans="1:17">
      <c r="A57">
        <v>664</v>
      </c>
      <c r="B57">
        <v>28</v>
      </c>
      <c r="C57">
        <v>12</v>
      </c>
      <c r="D57">
        <v>2023</v>
      </c>
      <c r="E57" t="s">
        <v>44</v>
      </c>
      <c r="F57" t="s">
        <v>30</v>
      </c>
      <c r="G57" s="19">
        <v>45288</v>
      </c>
      <c r="H57" t="s">
        <v>228</v>
      </c>
      <c r="I57" t="s">
        <v>3</v>
      </c>
      <c r="J57" t="s">
        <v>28</v>
      </c>
      <c r="K57">
        <v>44</v>
      </c>
      <c r="L57" t="s">
        <v>7</v>
      </c>
      <c r="M57">
        <v>4</v>
      </c>
      <c r="N57">
        <v>500</v>
      </c>
      <c r="O57">
        <v>2000</v>
      </c>
      <c r="P57">
        <v>30</v>
      </c>
      <c r="Q57">
        <v>40</v>
      </c>
    </row>
    <row r="58" spans="1:17">
      <c r="A58">
        <v>661</v>
      </c>
      <c r="B58">
        <v>16</v>
      </c>
      <c r="C58">
        <v>7</v>
      </c>
      <c r="D58">
        <v>2023</v>
      </c>
      <c r="E58" t="s">
        <v>69</v>
      </c>
      <c r="F58" t="s">
        <v>51</v>
      </c>
      <c r="G58" s="19">
        <v>45123</v>
      </c>
      <c r="H58" t="s">
        <v>229</v>
      </c>
      <c r="I58" t="s">
        <v>3</v>
      </c>
      <c r="J58" t="s">
        <v>28</v>
      </c>
      <c r="K58">
        <v>44</v>
      </c>
      <c r="L58" t="s">
        <v>7</v>
      </c>
      <c r="M58">
        <v>4</v>
      </c>
      <c r="N58">
        <v>25</v>
      </c>
      <c r="O58">
        <v>100</v>
      </c>
      <c r="P58">
        <v>1.5</v>
      </c>
      <c r="Q58">
        <v>2</v>
      </c>
    </row>
    <row r="59" spans="1:17">
      <c r="A59">
        <v>657</v>
      </c>
      <c r="B59">
        <v>11</v>
      </c>
      <c r="C59">
        <v>2</v>
      </c>
      <c r="D59">
        <v>2023</v>
      </c>
      <c r="E59" t="s">
        <v>37</v>
      </c>
      <c r="F59" t="s">
        <v>41</v>
      </c>
      <c r="G59" s="19">
        <v>44968</v>
      </c>
      <c r="H59" t="s">
        <v>230</v>
      </c>
      <c r="I59" t="s">
        <v>4</v>
      </c>
      <c r="J59" t="s">
        <v>28</v>
      </c>
      <c r="K59">
        <v>40</v>
      </c>
      <c r="L59" t="s">
        <v>7</v>
      </c>
      <c r="M59">
        <v>1</v>
      </c>
      <c r="N59">
        <v>25</v>
      </c>
      <c r="O59">
        <v>25</v>
      </c>
      <c r="P59">
        <v>0.375</v>
      </c>
      <c r="Q59">
        <v>0.5</v>
      </c>
    </row>
    <row r="60" spans="1:17">
      <c r="A60">
        <v>654</v>
      </c>
      <c r="B60">
        <v>21</v>
      </c>
      <c r="C60">
        <v>6</v>
      </c>
      <c r="D60">
        <v>2023</v>
      </c>
      <c r="E60" t="s">
        <v>34</v>
      </c>
      <c r="F60" t="s">
        <v>59</v>
      </c>
      <c r="G60" s="19">
        <v>45098</v>
      </c>
      <c r="H60" t="s">
        <v>231</v>
      </c>
      <c r="I60" t="s">
        <v>4</v>
      </c>
      <c r="J60" t="s">
        <v>28</v>
      </c>
      <c r="K60">
        <v>42</v>
      </c>
      <c r="L60" t="s">
        <v>7</v>
      </c>
      <c r="M60">
        <v>3</v>
      </c>
      <c r="N60">
        <v>25</v>
      </c>
      <c r="O60">
        <v>75</v>
      </c>
      <c r="P60">
        <v>1.125</v>
      </c>
      <c r="Q60">
        <v>1.5</v>
      </c>
    </row>
    <row r="61" spans="1:17">
      <c r="A61">
        <v>646</v>
      </c>
      <c r="B61">
        <v>3</v>
      </c>
      <c r="C61">
        <v>5</v>
      </c>
      <c r="D61">
        <v>2023</v>
      </c>
      <c r="E61" t="s">
        <v>34</v>
      </c>
      <c r="F61" t="s">
        <v>35</v>
      </c>
      <c r="G61" s="19">
        <v>45049</v>
      </c>
      <c r="H61" t="s">
        <v>232</v>
      </c>
      <c r="I61" t="s">
        <v>4</v>
      </c>
      <c r="J61" t="s">
        <v>28</v>
      </c>
      <c r="K61">
        <v>38</v>
      </c>
      <c r="L61" t="s">
        <v>7</v>
      </c>
      <c r="M61">
        <v>3</v>
      </c>
      <c r="N61">
        <v>30</v>
      </c>
      <c r="O61">
        <v>90</v>
      </c>
      <c r="P61">
        <v>1.3499999999999999</v>
      </c>
      <c r="Q61">
        <v>1.8</v>
      </c>
    </row>
    <row r="62" spans="1:17">
      <c r="A62">
        <v>637</v>
      </c>
      <c r="B62">
        <v>1</v>
      </c>
      <c r="C62">
        <v>9</v>
      </c>
      <c r="D62">
        <v>2023</v>
      </c>
      <c r="E62" t="s">
        <v>25</v>
      </c>
      <c r="F62" t="s">
        <v>48</v>
      </c>
      <c r="G62" s="19">
        <v>45170</v>
      </c>
      <c r="H62" t="s">
        <v>233</v>
      </c>
      <c r="I62" t="s">
        <v>4</v>
      </c>
      <c r="J62" t="s">
        <v>28</v>
      </c>
      <c r="K62">
        <v>43</v>
      </c>
      <c r="L62" t="s">
        <v>7</v>
      </c>
      <c r="M62">
        <v>2</v>
      </c>
      <c r="N62">
        <v>300</v>
      </c>
      <c r="O62">
        <v>600</v>
      </c>
      <c r="P62">
        <v>9</v>
      </c>
      <c r="Q62">
        <v>12</v>
      </c>
    </row>
    <row r="63" spans="1:17">
      <c r="A63">
        <v>630</v>
      </c>
      <c r="B63">
        <v>15</v>
      </c>
      <c r="C63">
        <v>8</v>
      </c>
      <c r="D63">
        <v>2023</v>
      </c>
      <c r="E63" t="s">
        <v>29</v>
      </c>
      <c r="F63" t="s">
        <v>62</v>
      </c>
      <c r="G63" s="19">
        <v>45153</v>
      </c>
      <c r="H63" t="s">
        <v>234</v>
      </c>
      <c r="I63" t="s">
        <v>4</v>
      </c>
      <c r="J63" t="s">
        <v>28</v>
      </c>
      <c r="K63">
        <v>42</v>
      </c>
      <c r="L63" t="s">
        <v>7</v>
      </c>
      <c r="M63">
        <v>2</v>
      </c>
      <c r="N63">
        <v>50</v>
      </c>
      <c r="O63">
        <v>100</v>
      </c>
      <c r="P63">
        <v>1.5</v>
      </c>
      <c r="Q63">
        <v>2</v>
      </c>
    </row>
    <row r="64" spans="1:17">
      <c r="A64">
        <v>625</v>
      </c>
      <c r="B64">
        <v>8</v>
      </c>
      <c r="C64">
        <v>12</v>
      </c>
      <c r="D64">
        <v>2023</v>
      </c>
      <c r="E64" t="s">
        <v>25</v>
      </c>
      <c r="F64" t="s">
        <v>30</v>
      </c>
      <c r="G64" s="19">
        <v>45268</v>
      </c>
      <c r="H64" t="s">
        <v>235</v>
      </c>
      <c r="I64" t="s">
        <v>4</v>
      </c>
      <c r="J64" t="s">
        <v>28</v>
      </c>
      <c r="K64">
        <v>31</v>
      </c>
      <c r="L64" t="s">
        <v>7</v>
      </c>
      <c r="M64">
        <v>1</v>
      </c>
      <c r="N64">
        <v>300</v>
      </c>
      <c r="O64">
        <v>300</v>
      </c>
      <c r="P64">
        <v>4.5</v>
      </c>
      <c r="Q64">
        <v>6</v>
      </c>
    </row>
    <row r="65" spans="1:17">
      <c r="A65">
        <v>623</v>
      </c>
      <c r="B65">
        <v>10</v>
      </c>
      <c r="C65">
        <v>3</v>
      </c>
      <c r="D65">
        <v>2023</v>
      </c>
      <c r="E65" t="s">
        <v>25</v>
      </c>
      <c r="F65" t="s">
        <v>71</v>
      </c>
      <c r="G65" s="19">
        <v>44995</v>
      </c>
      <c r="H65" t="s">
        <v>236</v>
      </c>
      <c r="I65" t="s">
        <v>4</v>
      </c>
      <c r="J65" t="s">
        <v>28</v>
      </c>
      <c r="K65">
        <v>34</v>
      </c>
      <c r="L65" t="s">
        <v>7</v>
      </c>
      <c r="M65">
        <v>3</v>
      </c>
      <c r="N65">
        <v>50</v>
      </c>
      <c r="O65">
        <v>150</v>
      </c>
      <c r="P65">
        <v>2.25</v>
      </c>
      <c r="Q65">
        <v>3</v>
      </c>
    </row>
    <row r="66" spans="1:17">
      <c r="A66">
        <v>616</v>
      </c>
      <c r="B66">
        <v>23</v>
      </c>
      <c r="C66">
        <v>9</v>
      </c>
      <c r="D66">
        <v>2023</v>
      </c>
      <c r="E66" t="s">
        <v>37</v>
      </c>
      <c r="F66" t="s">
        <v>48</v>
      </c>
      <c r="G66" s="19">
        <v>45192</v>
      </c>
      <c r="H66" t="s">
        <v>237</v>
      </c>
      <c r="I66" t="s">
        <v>4</v>
      </c>
      <c r="J66" t="s">
        <v>28</v>
      </c>
      <c r="K66">
        <v>41</v>
      </c>
      <c r="L66" t="s">
        <v>7</v>
      </c>
      <c r="M66">
        <v>2</v>
      </c>
      <c r="N66">
        <v>50</v>
      </c>
      <c r="O66">
        <v>100</v>
      </c>
      <c r="P66">
        <v>1.5</v>
      </c>
      <c r="Q66">
        <v>2</v>
      </c>
    </row>
    <row r="67" spans="1:17">
      <c r="A67">
        <v>64</v>
      </c>
      <c r="B67">
        <v>24</v>
      </c>
      <c r="C67">
        <v>1</v>
      </c>
      <c r="D67">
        <v>2023</v>
      </c>
      <c r="E67" t="s">
        <v>29</v>
      </c>
      <c r="F67" t="s">
        <v>75</v>
      </c>
      <c r="G67" s="19">
        <v>44950</v>
      </c>
      <c r="H67" t="s">
        <v>238</v>
      </c>
      <c r="I67" t="s">
        <v>4</v>
      </c>
      <c r="J67" t="s">
        <v>28</v>
      </c>
      <c r="K67">
        <v>49</v>
      </c>
      <c r="L67" t="s">
        <v>7</v>
      </c>
      <c r="M67">
        <v>4</v>
      </c>
      <c r="N67">
        <v>25</v>
      </c>
      <c r="O67">
        <v>100</v>
      </c>
      <c r="P67">
        <v>1.5</v>
      </c>
      <c r="Q67">
        <v>2</v>
      </c>
    </row>
    <row r="68" spans="1:17">
      <c r="A68">
        <v>609</v>
      </c>
      <c r="B68">
        <v>19</v>
      </c>
      <c r="C68">
        <v>12</v>
      </c>
      <c r="D68">
        <v>2023</v>
      </c>
      <c r="E68" t="s">
        <v>29</v>
      </c>
      <c r="F68" t="s">
        <v>30</v>
      </c>
      <c r="G68" s="19">
        <v>45279</v>
      </c>
      <c r="H68" t="s">
        <v>239</v>
      </c>
      <c r="I68" t="s">
        <v>3</v>
      </c>
      <c r="J68" t="s">
        <v>28</v>
      </c>
      <c r="K68">
        <v>47</v>
      </c>
      <c r="L68" t="s">
        <v>7</v>
      </c>
      <c r="M68">
        <v>2</v>
      </c>
      <c r="N68">
        <v>50</v>
      </c>
      <c r="O68">
        <v>100</v>
      </c>
      <c r="P68">
        <v>1.5</v>
      </c>
      <c r="Q68">
        <v>2</v>
      </c>
    </row>
    <row r="69" spans="1:17">
      <c r="A69">
        <v>603</v>
      </c>
      <c r="B69">
        <v>16</v>
      </c>
      <c r="C69">
        <v>7</v>
      </c>
      <c r="D69">
        <v>2023</v>
      </c>
      <c r="E69" t="s">
        <v>69</v>
      </c>
      <c r="F69" t="s">
        <v>51</v>
      </c>
      <c r="G69" s="19">
        <v>45123</v>
      </c>
      <c r="H69" t="s">
        <v>240</v>
      </c>
      <c r="I69" t="s">
        <v>3</v>
      </c>
      <c r="J69" t="s">
        <v>28</v>
      </c>
      <c r="K69">
        <v>40</v>
      </c>
      <c r="L69" t="s">
        <v>7</v>
      </c>
      <c r="M69">
        <v>3</v>
      </c>
      <c r="N69">
        <v>30</v>
      </c>
      <c r="O69">
        <v>90</v>
      </c>
      <c r="P69">
        <v>1.3499999999999999</v>
      </c>
      <c r="Q69">
        <v>1.8</v>
      </c>
    </row>
    <row r="70" spans="1:17">
      <c r="A70">
        <v>590</v>
      </c>
      <c r="B70">
        <v>17</v>
      </c>
      <c r="C70">
        <v>3</v>
      </c>
      <c r="D70">
        <v>2023</v>
      </c>
      <c r="E70" t="s">
        <v>25</v>
      </c>
      <c r="F70" t="s">
        <v>71</v>
      </c>
      <c r="G70" s="19">
        <v>45002</v>
      </c>
      <c r="H70" t="s">
        <v>241</v>
      </c>
      <c r="I70" t="s">
        <v>4</v>
      </c>
      <c r="J70" t="s">
        <v>28</v>
      </c>
      <c r="K70">
        <v>36</v>
      </c>
      <c r="L70" t="s">
        <v>7</v>
      </c>
      <c r="M70">
        <v>3</v>
      </c>
      <c r="N70">
        <v>300</v>
      </c>
      <c r="O70">
        <v>900</v>
      </c>
      <c r="P70">
        <v>13.5</v>
      </c>
      <c r="Q70">
        <v>18</v>
      </c>
    </row>
    <row r="71" spans="1:17">
      <c r="A71">
        <v>582</v>
      </c>
      <c r="B71">
        <v>14</v>
      </c>
      <c r="C71">
        <v>11</v>
      </c>
      <c r="D71">
        <v>2023</v>
      </c>
      <c r="E71" t="s">
        <v>29</v>
      </c>
      <c r="F71" t="s">
        <v>26</v>
      </c>
      <c r="G71" s="19">
        <v>45244</v>
      </c>
      <c r="H71" t="s">
        <v>242</v>
      </c>
      <c r="I71" t="s">
        <v>4</v>
      </c>
      <c r="J71" t="s">
        <v>28</v>
      </c>
      <c r="K71">
        <v>35</v>
      </c>
      <c r="L71" t="s">
        <v>7</v>
      </c>
      <c r="M71">
        <v>3</v>
      </c>
      <c r="N71">
        <v>300</v>
      </c>
      <c r="O71">
        <v>900</v>
      </c>
      <c r="P71">
        <v>13.5</v>
      </c>
      <c r="Q71">
        <v>18</v>
      </c>
    </row>
    <row r="72" spans="1:17">
      <c r="A72">
        <v>580</v>
      </c>
      <c r="B72">
        <v>6</v>
      </c>
      <c r="C72">
        <v>12</v>
      </c>
      <c r="D72">
        <v>2023</v>
      </c>
      <c r="E72" t="s">
        <v>34</v>
      </c>
      <c r="F72" t="s">
        <v>30</v>
      </c>
      <c r="G72" s="19">
        <v>45266</v>
      </c>
      <c r="H72" t="s">
        <v>243</v>
      </c>
      <c r="I72" t="s">
        <v>3</v>
      </c>
      <c r="J72" t="s">
        <v>28</v>
      </c>
      <c r="K72">
        <v>31</v>
      </c>
      <c r="L72" t="s">
        <v>7</v>
      </c>
      <c r="M72">
        <v>3</v>
      </c>
      <c r="N72">
        <v>500</v>
      </c>
      <c r="O72">
        <v>1500</v>
      </c>
      <c r="P72">
        <v>22.5</v>
      </c>
      <c r="Q72">
        <v>30</v>
      </c>
    </row>
    <row r="73" spans="1:17">
      <c r="A73">
        <v>70</v>
      </c>
      <c r="B73">
        <v>21</v>
      </c>
      <c r="C73">
        <v>2</v>
      </c>
      <c r="D73">
        <v>2023</v>
      </c>
      <c r="E73" t="s">
        <v>29</v>
      </c>
      <c r="F73" t="s">
        <v>41</v>
      </c>
      <c r="G73" s="19">
        <v>44978</v>
      </c>
      <c r="H73" t="s">
        <v>244</v>
      </c>
      <c r="I73" t="s">
        <v>3</v>
      </c>
      <c r="J73" t="s">
        <v>28</v>
      </c>
      <c r="K73">
        <v>43</v>
      </c>
      <c r="L73" t="s">
        <v>7</v>
      </c>
      <c r="M73">
        <v>1</v>
      </c>
      <c r="N73">
        <v>300</v>
      </c>
      <c r="O73">
        <v>300</v>
      </c>
      <c r="P73">
        <v>4.5</v>
      </c>
      <c r="Q73">
        <v>6</v>
      </c>
    </row>
    <row r="74" spans="1:17">
      <c r="A74">
        <v>572</v>
      </c>
      <c r="B74">
        <v>20</v>
      </c>
      <c r="C74">
        <v>4</v>
      </c>
      <c r="D74">
        <v>2023</v>
      </c>
      <c r="E74" t="s">
        <v>44</v>
      </c>
      <c r="F74" t="s">
        <v>39</v>
      </c>
      <c r="G74" s="19">
        <v>45036</v>
      </c>
      <c r="H74" t="s">
        <v>245</v>
      </c>
      <c r="I74" t="s">
        <v>4</v>
      </c>
      <c r="J74" t="s">
        <v>28</v>
      </c>
      <c r="K74">
        <v>31</v>
      </c>
      <c r="L74" t="s">
        <v>7</v>
      </c>
      <c r="M74">
        <v>4</v>
      </c>
      <c r="N74">
        <v>500</v>
      </c>
      <c r="O74">
        <v>2000</v>
      </c>
      <c r="P74">
        <v>30</v>
      </c>
      <c r="Q74">
        <v>40</v>
      </c>
    </row>
    <row r="75" spans="1:17">
      <c r="A75">
        <v>570</v>
      </c>
      <c r="B75">
        <v>15</v>
      </c>
      <c r="C75">
        <v>8</v>
      </c>
      <c r="D75">
        <v>2023</v>
      </c>
      <c r="E75" t="s">
        <v>29</v>
      </c>
      <c r="F75" t="s">
        <v>62</v>
      </c>
      <c r="G75" s="19">
        <v>45153</v>
      </c>
      <c r="H75" t="s">
        <v>246</v>
      </c>
      <c r="I75" t="s">
        <v>4</v>
      </c>
      <c r="J75" t="s">
        <v>28</v>
      </c>
      <c r="K75">
        <v>49</v>
      </c>
      <c r="L75" t="s">
        <v>7</v>
      </c>
      <c r="M75">
        <v>1</v>
      </c>
      <c r="N75">
        <v>500</v>
      </c>
      <c r="O75">
        <v>500</v>
      </c>
      <c r="P75">
        <v>7.5</v>
      </c>
      <c r="Q75">
        <v>10</v>
      </c>
    </row>
    <row r="76" spans="1:17">
      <c r="A76">
        <v>559</v>
      </c>
      <c r="B76">
        <v>1</v>
      </c>
      <c r="C76">
        <v>1</v>
      </c>
      <c r="D76">
        <v>2023</v>
      </c>
      <c r="E76" t="s">
        <v>69</v>
      </c>
      <c r="F76" t="s">
        <v>75</v>
      </c>
      <c r="G76" s="19">
        <v>44927</v>
      </c>
      <c r="H76" t="s">
        <v>247</v>
      </c>
      <c r="I76" t="s">
        <v>3</v>
      </c>
      <c r="J76" t="s">
        <v>28</v>
      </c>
      <c r="K76">
        <v>40</v>
      </c>
      <c r="L76" t="s">
        <v>7</v>
      </c>
      <c r="M76">
        <v>4</v>
      </c>
      <c r="N76">
        <v>300</v>
      </c>
      <c r="O76">
        <v>1200</v>
      </c>
      <c r="P76">
        <v>18</v>
      </c>
      <c r="Q76">
        <v>24</v>
      </c>
    </row>
    <row r="77" spans="1:17">
      <c r="A77">
        <v>558</v>
      </c>
      <c r="B77">
        <v>8</v>
      </c>
      <c r="C77">
        <v>10</v>
      </c>
      <c r="D77">
        <v>2023</v>
      </c>
      <c r="E77" t="s">
        <v>69</v>
      </c>
      <c r="F77" t="s">
        <v>32</v>
      </c>
      <c r="G77" s="19">
        <v>45207</v>
      </c>
      <c r="H77" t="s">
        <v>248</v>
      </c>
      <c r="I77" t="s">
        <v>3</v>
      </c>
      <c r="J77" t="s">
        <v>28</v>
      </c>
      <c r="K77">
        <v>41</v>
      </c>
      <c r="L77" t="s">
        <v>7</v>
      </c>
      <c r="M77">
        <v>1</v>
      </c>
      <c r="N77">
        <v>25</v>
      </c>
      <c r="O77">
        <v>25</v>
      </c>
      <c r="P77">
        <v>0.375</v>
      </c>
      <c r="Q77">
        <v>0.5</v>
      </c>
    </row>
    <row r="78" spans="1:17">
      <c r="A78">
        <v>550</v>
      </c>
      <c r="B78">
        <v>7</v>
      </c>
      <c r="C78">
        <v>12</v>
      </c>
      <c r="D78">
        <v>2023</v>
      </c>
      <c r="E78" t="s">
        <v>44</v>
      </c>
      <c r="F78" t="s">
        <v>30</v>
      </c>
      <c r="G78" s="19">
        <v>45267</v>
      </c>
      <c r="H78" t="s">
        <v>249</v>
      </c>
      <c r="I78" t="s">
        <v>4</v>
      </c>
      <c r="J78" t="s">
        <v>28</v>
      </c>
      <c r="K78">
        <v>40</v>
      </c>
      <c r="L78" t="s">
        <v>7</v>
      </c>
      <c r="M78">
        <v>3</v>
      </c>
      <c r="N78">
        <v>300</v>
      </c>
      <c r="O78">
        <v>900</v>
      </c>
      <c r="P78">
        <v>13.5</v>
      </c>
      <c r="Q78">
        <v>18</v>
      </c>
    </row>
    <row r="79" spans="1:17">
      <c r="A79">
        <v>534</v>
      </c>
      <c r="B79">
        <v>10</v>
      </c>
      <c r="C79">
        <v>6</v>
      </c>
      <c r="D79">
        <v>2023</v>
      </c>
      <c r="E79" t="s">
        <v>37</v>
      </c>
      <c r="F79" t="s">
        <v>59</v>
      </c>
      <c r="G79" s="19">
        <v>45087</v>
      </c>
      <c r="H79" t="s">
        <v>250</v>
      </c>
      <c r="I79" t="s">
        <v>4</v>
      </c>
      <c r="J79" t="s">
        <v>28</v>
      </c>
      <c r="K79">
        <v>45</v>
      </c>
      <c r="L79" t="s">
        <v>7</v>
      </c>
      <c r="M79">
        <v>2</v>
      </c>
      <c r="N79">
        <v>500</v>
      </c>
      <c r="O79">
        <v>1000</v>
      </c>
      <c r="P79">
        <v>15</v>
      </c>
      <c r="Q79">
        <v>20</v>
      </c>
    </row>
    <row r="80" spans="1:17">
      <c r="A80">
        <v>77</v>
      </c>
      <c r="B80">
        <v>9</v>
      </c>
      <c r="C80">
        <v>7</v>
      </c>
      <c r="D80">
        <v>2023</v>
      </c>
      <c r="E80" t="s">
        <v>69</v>
      </c>
      <c r="F80" t="s">
        <v>51</v>
      </c>
      <c r="G80" s="19">
        <v>45116</v>
      </c>
      <c r="H80" t="s">
        <v>251</v>
      </c>
      <c r="I80" t="s">
        <v>3</v>
      </c>
      <c r="J80" t="s">
        <v>28</v>
      </c>
      <c r="K80">
        <v>47</v>
      </c>
      <c r="L80" t="s">
        <v>7</v>
      </c>
      <c r="M80">
        <v>2</v>
      </c>
      <c r="N80">
        <v>50</v>
      </c>
      <c r="O80">
        <v>100</v>
      </c>
      <c r="P80">
        <v>1.5</v>
      </c>
      <c r="Q80">
        <v>2</v>
      </c>
    </row>
    <row r="81" spans="1:17">
      <c r="A81">
        <v>78</v>
      </c>
      <c r="B81">
        <v>1</v>
      </c>
      <c r="C81">
        <v>7</v>
      </c>
      <c r="D81">
        <v>2023</v>
      </c>
      <c r="E81" t="s">
        <v>37</v>
      </c>
      <c r="F81" t="s">
        <v>51</v>
      </c>
      <c r="G81" s="19">
        <v>45108</v>
      </c>
      <c r="H81" t="s">
        <v>252</v>
      </c>
      <c r="I81" t="s">
        <v>3</v>
      </c>
      <c r="J81" t="s">
        <v>28</v>
      </c>
      <c r="K81">
        <v>47</v>
      </c>
      <c r="L81" t="s">
        <v>7</v>
      </c>
      <c r="M81">
        <v>3</v>
      </c>
      <c r="N81">
        <v>500</v>
      </c>
      <c r="O81">
        <v>1500</v>
      </c>
      <c r="P81">
        <v>22.5</v>
      </c>
      <c r="Q81">
        <v>30</v>
      </c>
    </row>
    <row r="82" spans="1:17">
      <c r="A82">
        <v>529</v>
      </c>
      <c r="B82">
        <v>9</v>
      </c>
      <c r="C82">
        <v>8</v>
      </c>
      <c r="D82">
        <v>2023</v>
      </c>
      <c r="E82" t="s">
        <v>34</v>
      </c>
      <c r="F82" t="s">
        <v>62</v>
      </c>
      <c r="G82" s="19">
        <v>45147</v>
      </c>
      <c r="H82" t="s">
        <v>253</v>
      </c>
      <c r="I82" t="s">
        <v>3</v>
      </c>
      <c r="J82" t="s">
        <v>28</v>
      </c>
      <c r="K82">
        <v>35</v>
      </c>
      <c r="L82" t="s">
        <v>7</v>
      </c>
      <c r="M82">
        <v>3</v>
      </c>
      <c r="N82">
        <v>50</v>
      </c>
      <c r="O82">
        <v>150</v>
      </c>
      <c r="P82">
        <v>2.25</v>
      </c>
      <c r="Q82">
        <v>3</v>
      </c>
    </row>
    <row r="83" spans="1:17">
      <c r="A83">
        <v>528</v>
      </c>
      <c r="B83">
        <v>6</v>
      </c>
      <c r="C83">
        <v>7</v>
      </c>
      <c r="D83">
        <v>2023</v>
      </c>
      <c r="E83" t="s">
        <v>44</v>
      </c>
      <c r="F83" t="s">
        <v>51</v>
      </c>
      <c r="G83" s="19">
        <v>45113</v>
      </c>
      <c r="H83" t="s">
        <v>254</v>
      </c>
      <c r="I83" t="s">
        <v>3</v>
      </c>
      <c r="J83" t="s">
        <v>28</v>
      </c>
      <c r="K83">
        <v>36</v>
      </c>
      <c r="L83" t="s">
        <v>7</v>
      </c>
      <c r="M83">
        <v>2</v>
      </c>
      <c r="N83">
        <v>30</v>
      </c>
      <c r="O83">
        <v>60</v>
      </c>
      <c r="P83">
        <v>0.89999999999999991</v>
      </c>
      <c r="Q83">
        <v>1.2</v>
      </c>
    </row>
    <row r="84" spans="1:17">
      <c r="A84">
        <v>526</v>
      </c>
      <c r="B84">
        <v>10</v>
      </c>
      <c r="C84">
        <v>12</v>
      </c>
      <c r="D84">
        <v>2023</v>
      </c>
      <c r="E84" t="s">
        <v>69</v>
      </c>
      <c r="F84" t="s">
        <v>30</v>
      </c>
      <c r="G84" s="19">
        <v>45270</v>
      </c>
      <c r="H84" t="s">
        <v>255</v>
      </c>
      <c r="I84" t="s">
        <v>4</v>
      </c>
      <c r="J84" t="s">
        <v>28</v>
      </c>
      <c r="K84">
        <v>33</v>
      </c>
      <c r="L84" t="s">
        <v>7</v>
      </c>
      <c r="M84">
        <v>2</v>
      </c>
      <c r="N84">
        <v>50</v>
      </c>
      <c r="O84">
        <v>100</v>
      </c>
      <c r="P84">
        <v>1.5</v>
      </c>
      <c r="Q84">
        <v>2</v>
      </c>
    </row>
    <row r="85" spans="1:17">
      <c r="A85">
        <v>521</v>
      </c>
      <c r="B85">
        <v>12</v>
      </c>
      <c r="C85">
        <v>8</v>
      </c>
      <c r="D85">
        <v>2023</v>
      </c>
      <c r="E85" t="s">
        <v>37</v>
      </c>
      <c r="F85" t="s">
        <v>62</v>
      </c>
      <c r="G85" s="19">
        <v>45150</v>
      </c>
      <c r="H85" t="s">
        <v>256</v>
      </c>
      <c r="I85" t="s">
        <v>3</v>
      </c>
      <c r="J85" t="s">
        <v>28</v>
      </c>
      <c r="K85">
        <v>47</v>
      </c>
      <c r="L85" t="s">
        <v>7</v>
      </c>
      <c r="M85">
        <v>4</v>
      </c>
      <c r="N85">
        <v>30</v>
      </c>
      <c r="O85">
        <v>120</v>
      </c>
      <c r="P85">
        <v>1.7999999999999998</v>
      </c>
      <c r="Q85">
        <v>2.4</v>
      </c>
    </row>
    <row r="86" spans="1:17">
      <c r="A86">
        <v>518</v>
      </c>
      <c r="B86">
        <v>11</v>
      </c>
      <c r="C86">
        <v>5</v>
      </c>
      <c r="D86">
        <v>2023</v>
      </c>
      <c r="E86" t="s">
        <v>44</v>
      </c>
      <c r="F86" t="s">
        <v>35</v>
      </c>
      <c r="G86" s="19">
        <v>45057</v>
      </c>
      <c r="H86" t="s">
        <v>257</v>
      </c>
      <c r="I86" t="s">
        <v>3</v>
      </c>
      <c r="J86" t="s">
        <v>28</v>
      </c>
      <c r="K86">
        <v>40</v>
      </c>
      <c r="L86" t="s">
        <v>7</v>
      </c>
      <c r="M86">
        <v>1</v>
      </c>
      <c r="N86">
        <v>30</v>
      </c>
      <c r="O86">
        <v>30</v>
      </c>
      <c r="P86">
        <v>0.44999999999999996</v>
      </c>
      <c r="Q86">
        <v>0.6</v>
      </c>
    </row>
    <row r="87" spans="1:17">
      <c r="A87">
        <v>517</v>
      </c>
      <c r="B87">
        <v>8</v>
      </c>
      <c r="C87">
        <v>4</v>
      </c>
      <c r="D87">
        <v>2023</v>
      </c>
      <c r="E87" t="s">
        <v>37</v>
      </c>
      <c r="F87" t="s">
        <v>39</v>
      </c>
      <c r="G87" s="19">
        <v>45024</v>
      </c>
      <c r="H87" t="s">
        <v>258</v>
      </c>
      <c r="I87" t="s">
        <v>3</v>
      </c>
      <c r="J87" t="s">
        <v>28</v>
      </c>
      <c r="K87">
        <v>47</v>
      </c>
      <c r="L87" t="s">
        <v>7</v>
      </c>
      <c r="M87">
        <v>4</v>
      </c>
      <c r="N87">
        <v>25</v>
      </c>
      <c r="O87">
        <v>100</v>
      </c>
      <c r="P87">
        <v>1.5</v>
      </c>
      <c r="Q87">
        <v>2</v>
      </c>
    </row>
    <row r="88" spans="1:17">
      <c r="A88">
        <v>85</v>
      </c>
      <c r="B88">
        <v>6</v>
      </c>
      <c r="C88">
        <v>2</v>
      </c>
      <c r="D88">
        <v>2023</v>
      </c>
      <c r="E88" t="s">
        <v>46</v>
      </c>
      <c r="F88" t="s">
        <v>41</v>
      </c>
      <c r="G88" s="19">
        <v>44963</v>
      </c>
      <c r="H88" t="s">
        <v>259</v>
      </c>
      <c r="I88" t="s">
        <v>4</v>
      </c>
      <c r="J88" t="s">
        <v>28</v>
      </c>
      <c r="K88">
        <v>31</v>
      </c>
      <c r="L88" t="s">
        <v>7</v>
      </c>
      <c r="M88">
        <v>3</v>
      </c>
      <c r="N88">
        <v>50</v>
      </c>
      <c r="O88">
        <v>150</v>
      </c>
      <c r="P88">
        <v>2.25</v>
      </c>
      <c r="Q88">
        <v>3</v>
      </c>
    </row>
    <row r="89" spans="1:17">
      <c r="A89">
        <v>515</v>
      </c>
      <c r="B89">
        <v>17</v>
      </c>
      <c r="C89">
        <v>7</v>
      </c>
      <c r="D89">
        <v>2023</v>
      </c>
      <c r="E89" t="s">
        <v>46</v>
      </c>
      <c r="F89" t="s">
        <v>51</v>
      </c>
      <c r="G89" s="19">
        <v>45124</v>
      </c>
      <c r="H89" t="s">
        <v>260</v>
      </c>
      <c r="I89" t="s">
        <v>3</v>
      </c>
      <c r="J89" t="s">
        <v>28</v>
      </c>
      <c r="K89">
        <v>49</v>
      </c>
      <c r="L89" t="s">
        <v>7</v>
      </c>
      <c r="M89">
        <v>3</v>
      </c>
      <c r="N89">
        <v>300</v>
      </c>
      <c r="O89">
        <v>900</v>
      </c>
      <c r="P89">
        <v>13.5</v>
      </c>
      <c r="Q89">
        <v>18</v>
      </c>
    </row>
    <row r="90" spans="1:17">
      <c r="A90">
        <v>497</v>
      </c>
      <c r="B90">
        <v>2</v>
      </c>
      <c r="C90">
        <v>10</v>
      </c>
      <c r="D90">
        <v>2023</v>
      </c>
      <c r="E90" t="s">
        <v>46</v>
      </c>
      <c r="F90" t="s">
        <v>32</v>
      </c>
      <c r="G90" s="19">
        <v>45201</v>
      </c>
      <c r="H90" t="s">
        <v>261</v>
      </c>
      <c r="I90" t="s">
        <v>4</v>
      </c>
      <c r="J90" t="s">
        <v>28</v>
      </c>
      <c r="K90">
        <v>41</v>
      </c>
      <c r="L90" t="s">
        <v>7</v>
      </c>
      <c r="M90">
        <v>4</v>
      </c>
      <c r="N90">
        <v>30</v>
      </c>
      <c r="O90">
        <v>120</v>
      </c>
      <c r="P90">
        <v>1.7999999999999998</v>
      </c>
      <c r="Q90">
        <v>2.4</v>
      </c>
    </row>
    <row r="91" spans="1:17">
      <c r="A91">
        <v>490</v>
      </c>
      <c r="B91">
        <v>5</v>
      </c>
      <c r="C91">
        <v>2</v>
      </c>
      <c r="D91">
        <v>2023</v>
      </c>
      <c r="E91" t="s">
        <v>69</v>
      </c>
      <c r="F91" t="s">
        <v>41</v>
      </c>
      <c r="G91" s="19">
        <v>44962</v>
      </c>
      <c r="H91" t="s">
        <v>262</v>
      </c>
      <c r="I91" t="s">
        <v>4</v>
      </c>
      <c r="J91" t="s">
        <v>28</v>
      </c>
      <c r="K91">
        <v>34</v>
      </c>
      <c r="L91" t="s">
        <v>7</v>
      </c>
      <c r="M91">
        <v>3</v>
      </c>
      <c r="N91">
        <v>50</v>
      </c>
      <c r="O91">
        <v>150</v>
      </c>
      <c r="P91">
        <v>2.25</v>
      </c>
      <c r="Q91">
        <v>3</v>
      </c>
    </row>
    <row r="92" spans="1:17">
      <c r="A92">
        <v>487</v>
      </c>
      <c r="B92">
        <v>24</v>
      </c>
      <c r="C92">
        <v>7</v>
      </c>
      <c r="D92">
        <v>2023</v>
      </c>
      <c r="E92" t="s">
        <v>46</v>
      </c>
      <c r="F92" t="s">
        <v>51</v>
      </c>
      <c r="G92" s="19">
        <v>45131</v>
      </c>
      <c r="H92" t="s">
        <v>263</v>
      </c>
      <c r="I92" t="s">
        <v>4</v>
      </c>
      <c r="J92" t="s">
        <v>28</v>
      </c>
      <c r="K92">
        <v>44</v>
      </c>
      <c r="L92" t="s">
        <v>7</v>
      </c>
      <c r="M92">
        <v>4</v>
      </c>
      <c r="N92">
        <v>500</v>
      </c>
      <c r="O92">
        <v>2000</v>
      </c>
      <c r="P92">
        <v>30</v>
      </c>
      <c r="Q92">
        <v>40</v>
      </c>
    </row>
    <row r="93" spans="1:17">
      <c r="A93">
        <v>477</v>
      </c>
      <c r="B93">
        <v>24</v>
      </c>
      <c r="C93">
        <v>4</v>
      </c>
      <c r="D93">
        <v>2023</v>
      </c>
      <c r="E93" t="s">
        <v>46</v>
      </c>
      <c r="F93" t="s">
        <v>39</v>
      </c>
      <c r="G93" s="19">
        <v>45040</v>
      </c>
      <c r="H93" t="s">
        <v>264</v>
      </c>
      <c r="I93" t="s">
        <v>4</v>
      </c>
      <c r="J93" t="s">
        <v>28</v>
      </c>
      <c r="K93">
        <v>43</v>
      </c>
      <c r="L93" t="s">
        <v>7</v>
      </c>
      <c r="M93">
        <v>4</v>
      </c>
      <c r="N93">
        <v>30</v>
      </c>
      <c r="O93">
        <v>120</v>
      </c>
      <c r="P93">
        <v>1.7999999999999998</v>
      </c>
      <c r="Q93">
        <v>2.4</v>
      </c>
    </row>
    <row r="94" spans="1:17">
      <c r="A94">
        <v>471</v>
      </c>
      <c r="B94">
        <v>23</v>
      </c>
      <c r="C94">
        <v>3</v>
      </c>
      <c r="D94">
        <v>2023</v>
      </c>
      <c r="E94" t="s">
        <v>44</v>
      </c>
      <c r="F94" t="s">
        <v>71</v>
      </c>
      <c r="G94" s="19">
        <v>45008</v>
      </c>
      <c r="H94" t="s">
        <v>265</v>
      </c>
      <c r="I94" t="s">
        <v>4</v>
      </c>
      <c r="J94" t="s">
        <v>28</v>
      </c>
      <c r="K94">
        <v>32</v>
      </c>
      <c r="L94" t="s">
        <v>7</v>
      </c>
      <c r="M94">
        <v>3</v>
      </c>
      <c r="N94">
        <v>50</v>
      </c>
      <c r="O94">
        <v>150</v>
      </c>
      <c r="P94">
        <v>2.25</v>
      </c>
      <c r="Q94">
        <v>3</v>
      </c>
    </row>
    <row r="95" spans="1:17">
      <c r="A95">
        <v>452</v>
      </c>
      <c r="B95">
        <v>8</v>
      </c>
      <c r="C95">
        <v>5</v>
      </c>
      <c r="D95">
        <v>2023</v>
      </c>
      <c r="E95" t="s">
        <v>46</v>
      </c>
      <c r="F95" t="s">
        <v>35</v>
      </c>
      <c r="G95" s="19">
        <v>45054</v>
      </c>
      <c r="H95" t="s">
        <v>266</v>
      </c>
      <c r="I95" t="s">
        <v>3</v>
      </c>
      <c r="J95" t="s">
        <v>28</v>
      </c>
      <c r="K95">
        <v>48</v>
      </c>
      <c r="L95" t="s">
        <v>7</v>
      </c>
      <c r="M95">
        <v>3</v>
      </c>
      <c r="N95">
        <v>500</v>
      </c>
      <c r="O95">
        <v>1500</v>
      </c>
      <c r="P95">
        <v>22.5</v>
      </c>
      <c r="Q95">
        <v>30</v>
      </c>
    </row>
    <row r="96" spans="1:17">
      <c r="A96">
        <v>438</v>
      </c>
      <c r="B96">
        <v>19</v>
      </c>
      <c r="C96">
        <v>1</v>
      </c>
      <c r="D96">
        <v>2023</v>
      </c>
      <c r="E96" t="s">
        <v>44</v>
      </c>
      <c r="F96" t="s">
        <v>75</v>
      </c>
      <c r="G96" s="19">
        <v>44945</v>
      </c>
      <c r="H96" t="s">
        <v>267</v>
      </c>
      <c r="I96" t="s">
        <v>3</v>
      </c>
      <c r="J96" t="s">
        <v>28</v>
      </c>
      <c r="K96">
        <v>42</v>
      </c>
      <c r="L96" t="s">
        <v>7</v>
      </c>
      <c r="M96">
        <v>1</v>
      </c>
      <c r="N96">
        <v>30</v>
      </c>
      <c r="O96">
        <v>30</v>
      </c>
      <c r="P96">
        <v>0.44999999999999996</v>
      </c>
      <c r="Q96">
        <v>0.6</v>
      </c>
    </row>
    <row r="97" spans="1:17">
      <c r="A97">
        <v>421</v>
      </c>
      <c r="B97">
        <v>2</v>
      </c>
      <c r="C97">
        <v>1</v>
      </c>
      <c r="D97">
        <v>2023</v>
      </c>
      <c r="E97" t="s">
        <v>46</v>
      </c>
      <c r="F97" t="s">
        <v>75</v>
      </c>
      <c r="G97" s="19">
        <v>44928</v>
      </c>
      <c r="H97" t="s">
        <v>268</v>
      </c>
      <c r="I97" t="s">
        <v>3</v>
      </c>
      <c r="J97" t="s">
        <v>28</v>
      </c>
      <c r="K97">
        <v>37</v>
      </c>
      <c r="L97" t="s">
        <v>7</v>
      </c>
      <c r="M97">
        <v>3</v>
      </c>
      <c r="N97">
        <v>500</v>
      </c>
      <c r="O97">
        <v>1500</v>
      </c>
      <c r="P97">
        <v>22.5</v>
      </c>
      <c r="Q97">
        <v>30</v>
      </c>
    </row>
    <row r="98" spans="1:17">
      <c r="A98">
        <v>95</v>
      </c>
      <c r="B98">
        <v>24</v>
      </c>
      <c r="C98">
        <v>11</v>
      </c>
      <c r="D98">
        <v>2023</v>
      </c>
      <c r="E98" t="s">
        <v>25</v>
      </c>
      <c r="F98" t="s">
        <v>26</v>
      </c>
      <c r="G98" s="19">
        <v>45254</v>
      </c>
      <c r="H98" t="s">
        <v>269</v>
      </c>
      <c r="I98" t="s">
        <v>3</v>
      </c>
      <c r="J98" t="s">
        <v>28</v>
      </c>
      <c r="K98">
        <v>32</v>
      </c>
      <c r="L98" t="s">
        <v>7</v>
      </c>
      <c r="M98">
        <v>2</v>
      </c>
      <c r="N98">
        <v>30</v>
      </c>
      <c r="O98">
        <v>60</v>
      </c>
      <c r="P98">
        <v>0.89999999999999991</v>
      </c>
      <c r="Q98">
        <v>1.2</v>
      </c>
    </row>
    <row r="99" spans="1:17">
      <c r="A99">
        <v>96</v>
      </c>
      <c r="B99">
        <v>19</v>
      </c>
      <c r="C99">
        <v>12</v>
      </c>
      <c r="D99">
        <v>2023</v>
      </c>
      <c r="E99" t="s">
        <v>29</v>
      </c>
      <c r="F99" t="s">
        <v>30</v>
      </c>
      <c r="G99" s="19">
        <v>45279</v>
      </c>
      <c r="H99" t="s">
        <v>270</v>
      </c>
      <c r="I99" t="s">
        <v>3</v>
      </c>
      <c r="J99" t="s">
        <v>28</v>
      </c>
      <c r="K99">
        <v>44</v>
      </c>
      <c r="L99" t="s">
        <v>7</v>
      </c>
      <c r="M99">
        <v>2</v>
      </c>
      <c r="N99">
        <v>300</v>
      </c>
      <c r="O99">
        <v>600</v>
      </c>
      <c r="P99">
        <v>9</v>
      </c>
      <c r="Q99">
        <v>12</v>
      </c>
    </row>
    <row r="100" spans="1:17">
      <c r="A100">
        <v>419</v>
      </c>
      <c r="B100">
        <v>22</v>
      </c>
      <c r="C100">
        <v>5</v>
      </c>
      <c r="D100">
        <v>2023</v>
      </c>
      <c r="E100" t="s">
        <v>46</v>
      </c>
      <c r="F100" t="s">
        <v>35</v>
      </c>
      <c r="G100" s="19">
        <v>45068</v>
      </c>
      <c r="H100" t="s">
        <v>271</v>
      </c>
      <c r="I100" t="s">
        <v>3</v>
      </c>
      <c r="J100" t="s">
        <v>28</v>
      </c>
      <c r="K100">
        <v>44</v>
      </c>
      <c r="L100" t="s">
        <v>7</v>
      </c>
      <c r="M100">
        <v>3</v>
      </c>
      <c r="N100">
        <v>30</v>
      </c>
      <c r="O100">
        <v>90</v>
      </c>
      <c r="P100">
        <v>1.3499999999999999</v>
      </c>
      <c r="Q100">
        <v>1.8</v>
      </c>
    </row>
    <row r="101" spans="1:17">
      <c r="A101">
        <v>403</v>
      </c>
      <c r="B101">
        <v>20</v>
      </c>
      <c r="C101">
        <v>5</v>
      </c>
      <c r="D101">
        <v>2023</v>
      </c>
      <c r="E101" t="s">
        <v>37</v>
      </c>
      <c r="F101" t="s">
        <v>35</v>
      </c>
      <c r="G101" s="19">
        <v>45066</v>
      </c>
      <c r="H101" t="s">
        <v>272</v>
      </c>
      <c r="I101" t="s">
        <v>4</v>
      </c>
      <c r="J101" t="s">
        <v>28</v>
      </c>
      <c r="K101">
        <v>32</v>
      </c>
      <c r="L101" t="s">
        <v>7</v>
      </c>
      <c r="M101">
        <v>2</v>
      </c>
      <c r="N101">
        <v>300</v>
      </c>
      <c r="O101">
        <v>600</v>
      </c>
      <c r="P101">
        <v>9</v>
      </c>
      <c r="Q101">
        <v>12</v>
      </c>
    </row>
    <row r="102" spans="1:17">
      <c r="A102">
        <v>402</v>
      </c>
      <c r="B102">
        <v>21</v>
      </c>
      <c r="C102">
        <v>3</v>
      </c>
      <c r="D102">
        <v>2023</v>
      </c>
      <c r="E102" t="s">
        <v>29</v>
      </c>
      <c r="F102" t="s">
        <v>71</v>
      </c>
      <c r="G102" s="19">
        <v>45006</v>
      </c>
      <c r="H102" t="s">
        <v>273</v>
      </c>
      <c r="I102" t="s">
        <v>3</v>
      </c>
      <c r="J102" t="s">
        <v>28</v>
      </c>
      <c r="K102">
        <v>41</v>
      </c>
      <c r="L102" t="s">
        <v>7</v>
      </c>
      <c r="M102">
        <v>2</v>
      </c>
      <c r="N102">
        <v>300</v>
      </c>
      <c r="O102">
        <v>600</v>
      </c>
      <c r="P102">
        <v>9</v>
      </c>
      <c r="Q102">
        <v>12</v>
      </c>
    </row>
    <row r="103" spans="1:17">
      <c r="A103">
        <v>398</v>
      </c>
      <c r="B103">
        <v>16</v>
      </c>
      <c r="C103">
        <v>5</v>
      </c>
      <c r="D103">
        <v>2023</v>
      </c>
      <c r="E103" t="s">
        <v>29</v>
      </c>
      <c r="F103" t="s">
        <v>35</v>
      </c>
      <c r="G103" s="19">
        <v>45062</v>
      </c>
      <c r="H103" t="s">
        <v>274</v>
      </c>
      <c r="I103" t="s">
        <v>3</v>
      </c>
      <c r="J103" t="s">
        <v>28</v>
      </c>
      <c r="K103">
        <v>48</v>
      </c>
      <c r="L103" t="s">
        <v>7</v>
      </c>
      <c r="M103">
        <v>2</v>
      </c>
      <c r="N103">
        <v>300</v>
      </c>
      <c r="O103">
        <v>600</v>
      </c>
      <c r="P103">
        <v>9</v>
      </c>
      <c r="Q103">
        <v>12</v>
      </c>
    </row>
    <row r="104" spans="1:17">
      <c r="A104">
        <v>101</v>
      </c>
      <c r="B104">
        <v>29</v>
      </c>
      <c r="C104">
        <v>1</v>
      </c>
      <c r="D104">
        <v>2023</v>
      </c>
      <c r="E104" t="s">
        <v>69</v>
      </c>
      <c r="F104" t="s">
        <v>75</v>
      </c>
      <c r="G104" s="19">
        <v>44955</v>
      </c>
      <c r="H104" t="s">
        <v>275</v>
      </c>
      <c r="I104" t="s">
        <v>4</v>
      </c>
      <c r="J104" t="s">
        <v>28</v>
      </c>
      <c r="K104">
        <v>32</v>
      </c>
      <c r="L104" t="s">
        <v>7</v>
      </c>
      <c r="M104">
        <v>2</v>
      </c>
      <c r="N104">
        <v>300</v>
      </c>
      <c r="O104">
        <v>600</v>
      </c>
      <c r="P104">
        <v>9</v>
      </c>
      <c r="Q104">
        <v>12</v>
      </c>
    </row>
    <row r="105" spans="1:17">
      <c r="A105">
        <v>381</v>
      </c>
      <c r="B105">
        <v>9</v>
      </c>
      <c r="C105">
        <v>7</v>
      </c>
      <c r="D105">
        <v>2023</v>
      </c>
      <c r="E105" t="s">
        <v>69</v>
      </c>
      <c r="F105" t="s">
        <v>51</v>
      </c>
      <c r="G105" s="19">
        <v>45116</v>
      </c>
      <c r="H105" t="s">
        <v>276</v>
      </c>
      <c r="I105" t="s">
        <v>3</v>
      </c>
      <c r="J105" t="s">
        <v>28</v>
      </c>
      <c r="K105">
        <v>44</v>
      </c>
      <c r="L105" t="s">
        <v>7</v>
      </c>
      <c r="M105">
        <v>4</v>
      </c>
      <c r="N105">
        <v>25</v>
      </c>
      <c r="O105">
        <v>100</v>
      </c>
      <c r="P105">
        <v>1.5</v>
      </c>
      <c r="Q105">
        <v>2</v>
      </c>
    </row>
    <row r="106" spans="1:17">
      <c r="A106">
        <v>379</v>
      </c>
      <c r="B106">
        <v>5</v>
      </c>
      <c r="C106">
        <v>2</v>
      </c>
      <c r="D106">
        <v>2023</v>
      </c>
      <c r="E106" t="s">
        <v>69</v>
      </c>
      <c r="F106" t="s">
        <v>41</v>
      </c>
      <c r="G106" s="19">
        <v>44962</v>
      </c>
      <c r="H106" t="s">
        <v>277</v>
      </c>
      <c r="I106" t="s">
        <v>3</v>
      </c>
      <c r="J106" t="s">
        <v>28</v>
      </c>
      <c r="K106">
        <v>47</v>
      </c>
      <c r="L106" t="s">
        <v>7</v>
      </c>
      <c r="M106">
        <v>1</v>
      </c>
      <c r="N106">
        <v>25</v>
      </c>
      <c r="O106">
        <v>25</v>
      </c>
      <c r="P106">
        <v>0.375</v>
      </c>
      <c r="Q106">
        <v>0.5</v>
      </c>
    </row>
    <row r="107" spans="1:17">
      <c r="A107">
        <v>377</v>
      </c>
      <c r="B107">
        <v>9</v>
      </c>
      <c r="C107">
        <v>3</v>
      </c>
      <c r="D107">
        <v>2023</v>
      </c>
      <c r="E107" t="s">
        <v>44</v>
      </c>
      <c r="F107" t="s">
        <v>71</v>
      </c>
      <c r="G107" s="19">
        <v>44994</v>
      </c>
      <c r="H107" t="s">
        <v>278</v>
      </c>
      <c r="I107" t="s">
        <v>3</v>
      </c>
      <c r="J107" t="s">
        <v>28</v>
      </c>
      <c r="K107">
        <v>46</v>
      </c>
      <c r="L107" t="s">
        <v>7</v>
      </c>
      <c r="M107">
        <v>4</v>
      </c>
      <c r="N107">
        <v>50</v>
      </c>
      <c r="O107">
        <v>200</v>
      </c>
      <c r="P107">
        <v>3</v>
      </c>
      <c r="Q107">
        <v>4</v>
      </c>
    </row>
    <row r="108" spans="1:17">
      <c r="A108">
        <v>375</v>
      </c>
      <c r="B108">
        <v>17</v>
      </c>
      <c r="C108">
        <v>9</v>
      </c>
      <c r="D108">
        <v>2023</v>
      </c>
      <c r="E108" t="s">
        <v>69</v>
      </c>
      <c r="F108" t="s">
        <v>48</v>
      </c>
      <c r="G108" s="19">
        <v>45186</v>
      </c>
      <c r="H108" t="s">
        <v>279</v>
      </c>
      <c r="I108" t="s">
        <v>4</v>
      </c>
      <c r="J108" t="s">
        <v>28</v>
      </c>
      <c r="K108">
        <v>32</v>
      </c>
      <c r="L108" t="s">
        <v>7</v>
      </c>
      <c r="M108">
        <v>1</v>
      </c>
      <c r="N108">
        <v>50</v>
      </c>
      <c r="O108">
        <v>50</v>
      </c>
      <c r="P108">
        <v>0.75</v>
      </c>
      <c r="Q108">
        <v>1</v>
      </c>
    </row>
    <row r="109" spans="1:17">
      <c r="A109">
        <v>106</v>
      </c>
      <c r="B109">
        <v>18</v>
      </c>
      <c r="C109">
        <v>5</v>
      </c>
      <c r="D109">
        <v>2023</v>
      </c>
      <c r="E109" t="s">
        <v>44</v>
      </c>
      <c r="F109" t="s">
        <v>35</v>
      </c>
      <c r="G109" s="19">
        <v>45064</v>
      </c>
      <c r="H109" t="s">
        <v>280</v>
      </c>
      <c r="I109" t="s">
        <v>3</v>
      </c>
      <c r="J109" t="s">
        <v>28</v>
      </c>
      <c r="K109">
        <v>46</v>
      </c>
      <c r="L109" t="s">
        <v>7</v>
      </c>
      <c r="M109">
        <v>1</v>
      </c>
      <c r="N109">
        <v>50</v>
      </c>
      <c r="O109">
        <v>50</v>
      </c>
      <c r="P109">
        <v>0.75</v>
      </c>
      <c r="Q109">
        <v>1</v>
      </c>
    </row>
    <row r="110" spans="1:17">
      <c r="A110">
        <v>365</v>
      </c>
      <c r="B110">
        <v>11</v>
      </c>
      <c r="C110">
        <v>6</v>
      </c>
      <c r="D110">
        <v>2023</v>
      </c>
      <c r="E110" t="s">
        <v>69</v>
      </c>
      <c r="F110" t="s">
        <v>59</v>
      </c>
      <c r="G110" s="19">
        <v>45088</v>
      </c>
      <c r="H110" t="s">
        <v>281</v>
      </c>
      <c r="I110" t="s">
        <v>4</v>
      </c>
      <c r="J110" t="s">
        <v>28</v>
      </c>
      <c r="K110">
        <v>31</v>
      </c>
      <c r="L110" t="s">
        <v>7</v>
      </c>
      <c r="M110">
        <v>1</v>
      </c>
      <c r="N110">
        <v>300</v>
      </c>
      <c r="O110">
        <v>300</v>
      </c>
      <c r="P110">
        <v>4.5</v>
      </c>
      <c r="Q110">
        <v>6</v>
      </c>
    </row>
    <row r="111" spans="1:17">
      <c r="A111">
        <v>360</v>
      </c>
      <c r="B111">
        <v>9</v>
      </c>
      <c r="C111">
        <v>3</v>
      </c>
      <c r="D111">
        <v>2023</v>
      </c>
      <c r="E111" t="s">
        <v>44</v>
      </c>
      <c r="F111" t="s">
        <v>71</v>
      </c>
      <c r="G111" s="19">
        <v>44994</v>
      </c>
      <c r="H111" t="s">
        <v>282</v>
      </c>
      <c r="I111" t="s">
        <v>4</v>
      </c>
      <c r="J111" t="s">
        <v>28</v>
      </c>
      <c r="K111">
        <v>42</v>
      </c>
      <c r="L111" t="s">
        <v>7</v>
      </c>
      <c r="M111">
        <v>4</v>
      </c>
      <c r="N111">
        <v>25</v>
      </c>
      <c r="O111">
        <v>100</v>
      </c>
      <c r="P111">
        <v>1.5</v>
      </c>
      <c r="Q111">
        <v>2</v>
      </c>
    </row>
    <row r="112" spans="1:17">
      <c r="A112">
        <v>342</v>
      </c>
      <c r="B112">
        <v>24</v>
      </c>
      <c r="C112">
        <v>10</v>
      </c>
      <c r="D112">
        <v>2023</v>
      </c>
      <c r="E112" t="s">
        <v>29</v>
      </c>
      <c r="F112" t="s">
        <v>32</v>
      </c>
      <c r="G112" s="19">
        <v>45223</v>
      </c>
      <c r="H112" t="s">
        <v>283</v>
      </c>
      <c r="I112" t="s">
        <v>3</v>
      </c>
      <c r="J112" t="s">
        <v>28</v>
      </c>
      <c r="K112">
        <v>43</v>
      </c>
      <c r="L112" t="s">
        <v>7</v>
      </c>
      <c r="M112">
        <v>4</v>
      </c>
      <c r="N112">
        <v>500</v>
      </c>
      <c r="O112">
        <v>2000</v>
      </c>
      <c r="P112">
        <v>30</v>
      </c>
      <c r="Q112">
        <v>40</v>
      </c>
    </row>
    <row r="113" spans="1:17">
      <c r="A113">
        <v>341</v>
      </c>
      <c r="B113">
        <v>7</v>
      </c>
      <c r="C113">
        <v>5</v>
      </c>
      <c r="D113">
        <v>2023</v>
      </c>
      <c r="E113" t="s">
        <v>69</v>
      </c>
      <c r="F113" t="s">
        <v>35</v>
      </c>
      <c r="G113" s="19">
        <v>45053</v>
      </c>
      <c r="H113" t="s">
        <v>284</v>
      </c>
      <c r="I113" t="s">
        <v>4</v>
      </c>
      <c r="J113" t="s">
        <v>28</v>
      </c>
      <c r="K113">
        <v>31</v>
      </c>
      <c r="L113" t="s">
        <v>7</v>
      </c>
      <c r="M113">
        <v>4</v>
      </c>
      <c r="N113">
        <v>50</v>
      </c>
      <c r="O113">
        <v>200</v>
      </c>
      <c r="P113">
        <v>3</v>
      </c>
      <c r="Q113">
        <v>4</v>
      </c>
    </row>
    <row r="114" spans="1:17">
      <c r="A114">
        <v>340</v>
      </c>
      <c r="B114">
        <v>19</v>
      </c>
      <c r="C114">
        <v>10</v>
      </c>
      <c r="D114">
        <v>2023</v>
      </c>
      <c r="E114" t="s">
        <v>44</v>
      </c>
      <c r="F114" t="s">
        <v>32</v>
      </c>
      <c r="G114" s="19">
        <v>45218</v>
      </c>
      <c r="H114" t="s">
        <v>285</v>
      </c>
      <c r="I114" t="s">
        <v>3</v>
      </c>
      <c r="J114" t="s">
        <v>28</v>
      </c>
      <c r="K114">
        <v>36</v>
      </c>
      <c r="L114" t="s">
        <v>7</v>
      </c>
      <c r="M114">
        <v>4</v>
      </c>
      <c r="N114">
        <v>300</v>
      </c>
      <c r="O114">
        <v>1200</v>
      </c>
      <c r="P114">
        <v>18</v>
      </c>
      <c r="Q114">
        <v>24</v>
      </c>
    </row>
    <row r="115" spans="1:17">
      <c r="A115">
        <v>112</v>
      </c>
      <c r="B115">
        <v>2</v>
      </c>
      <c r="C115">
        <v>12</v>
      </c>
      <c r="D115">
        <v>2023</v>
      </c>
      <c r="E115" t="s">
        <v>37</v>
      </c>
      <c r="F115" t="s">
        <v>30</v>
      </c>
      <c r="G115" s="19">
        <v>45262</v>
      </c>
      <c r="H115" t="s">
        <v>286</v>
      </c>
      <c r="I115" t="s">
        <v>4</v>
      </c>
      <c r="J115" t="s">
        <v>28</v>
      </c>
      <c r="K115">
        <v>37</v>
      </c>
      <c r="L115" t="s">
        <v>7</v>
      </c>
      <c r="M115">
        <v>3</v>
      </c>
      <c r="N115">
        <v>500</v>
      </c>
      <c r="O115">
        <v>1500</v>
      </c>
      <c r="P115">
        <v>22.5</v>
      </c>
      <c r="Q115">
        <v>30</v>
      </c>
    </row>
    <row r="116" spans="1:17">
      <c r="A116">
        <v>337</v>
      </c>
      <c r="B116">
        <v>1</v>
      </c>
      <c r="C116">
        <v>5</v>
      </c>
      <c r="D116">
        <v>2023</v>
      </c>
      <c r="E116" t="s">
        <v>46</v>
      </c>
      <c r="F116" t="s">
        <v>35</v>
      </c>
      <c r="G116" s="19">
        <v>45047</v>
      </c>
      <c r="H116" t="s">
        <v>287</v>
      </c>
      <c r="I116" t="s">
        <v>4</v>
      </c>
      <c r="J116" t="s">
        <v>28</v>
      </c>
      <c r="K116">
        <v>38</v>
      </c>
      <c r="L116" t="s">
        <v>7</v>
      </c>
      <c r="M116">
        <v>1</v>
      </c>
      <c r="N116">
        <v>500</v>
      </c>
      <c r="O116">
        <v>500</v>
      </c>
      <c r="P116">
        <v>7.5</v>
      </c>
      <c r="Q116">
        <v>10</v>
      </c>
    </row>
    <row r="117" spans="1:17">
      <c r="A117">
        <v>319</v>
      </c>
      <c r="B117">
        <v>5</v>
      </c>
      <c r="C117">
        <v>10</v>
      </c>
      <c r="D117">
        <v>2023</v>
      </c>
      <c r="E117" t="s">
        <v>44</v>
      </c>
      <c r="F117" t="s">
        <v>32</v>
      </c>
      <c r="G117" s="19">
        <v>45204</v>
      </c>
      <c r="H117" t="s">
        <v>288</v>
      </c>
      <c r="I117" t="s">
        <v>4</v>
      </c>
      <c r="J117" t="s">
        <v>28</v>
      </c>
      <c r="K117">
        <v>31</v>
      </c>
      <c r="L117" t="s">
        <v>7</v>
      </c>
      <c r="M117">
        <v>1</v>
      </c>
      <c r="N117">
        <v>500</v>
      </c>
      <c r="O117">
        <v>500</v>
      </c>
      <c r="P117">
        <v>7.5</v>
      </c>
      <c r="Q117">
        <v>10</v>
      </c>
    </row>
    <row r="118" spans="1:17">
      <c r="A118">
        <v>316</v>
      </c>
      <c r="B118">
        <v>22</v>
      </c>
      <c r="C118">
        <v>4</v>
      </c>
      <c r="D118">
        <v>2023</v>
      </c>
      <c r="E118" t="s">
        <v>37</v>
      </c>
      <c r="F118" t="s">
        <v>39</v>
      </c>
      <c r="G118" s="19">
        <v>45038</v>
      </c>
      <c r="H118" t="s">
        <v>289</v>
      </c>
      <c r="I118" t="s">
        <v>3</v>
      </c>
      <c r="J118" t="s">
        <v>28</v>
      </c>
      <c r="K118">
        <v>48</v>
      </c>
      <c r="L118" t="s">
        <v>7</v>
      </c>
      <c r="M118">
        <v>2</v>
      </c>
      <c r="N118">
        <v>25</v>
      </c>
      <c r="O118">
        <v>50</v>
      </c>
      <c r="P118">
        <v>0.75</v>
      </c>
      <c r="Q118">
        <v>1</v>
      </c>
    </row>
    <row r="119" spans="1:17">
      <c r="A119">
        <v>315</v>
      </c>
      <c r="B119">
        <v>1</v>
      </c>
      <c r="C119">
        <v>6</v>
      </c>
      <c r="D119">
        <v>2023</v>
      </c>
      <c r="E119" t="s">
        <v>44</v>
      </c>
      <c r="F119" t="s">
        <v>59</v>
      </c>
      <c r="G119" s="19">
        <v>45078</v>
      </c>
      <c r="H119" t="s">
        <v>290</v>
      </c>
      <c r="I119" t="s">
        <v>4</v>
      </c>
      <c r="J119" t="s">
        <v>28</v>
      </c>
      <c r="K119">
        <v>47</v>
      </c>
      <c r="L119" t="s">
        <v>7</v>
      </c>
      <c r="M119">
        <v>2</v>
      </c>
      <c r="N119">
        <v>30</v>
      </c>
      <c r="O119">
        <v>60</v>
      </c>
      <c r="P119">
        <v>0.89999999999999991</v>
      </c>
      <c r="Q119">
        <v>1.2</v>
      </c>
    </row>
    <row r="120" spans="1:17">
      <c r="A120">
        <v>312</v>
      </c>
      <c r="B120">
        <v>7</v>
      </c>
      <c r="C120">
        <v>9</v>
      </c>
      <c r="D120">
        <v>2023</v>
      </c>
      <c r="E120" t="s">
        <v>44</v>
      </c>
      <c r="F120" t="s">
        <v>48</v>
      </c>
      <c r="G120" s="19">
        <v>45176</v>
      </c>
      <c r="H120" t="s">
        <v>291</v>
      </c>
      <c r="I120" t="s">
        <v>4</v>
      </c>
      <c r="J120" t="s">
        <v>28</v>
      </c>
      <c r="K120">
        <v>41</v>
      </c>
      <c r="L120" t="s">
        <v>7</v>
      </c>
      <c r="M120">
        <v>4</v>
      </c>
      <c r="N120">
        <v>30</v>
      </c>
      <c r="O120">
        <v>120</v>
      </c>
      <c r="P120">
        <v>1.7999999999999998</v>
      </c>
      <c r="Q120">
        <v>2.4</v>
      </c>
    </row>
    <row r="121" spans="1:17">
      <c r="A121">
        <v>301</v>
      </c>
      <c r="B121">
        <v>26</v>
      </c>
      <c r="C121">
        <v>3</v>
      </c>
      <c r="D121">
        <v>2023</v>
      </c>
      <c r="E121" t="s">
        <v>69</v>
      </c>
      <c r="F121" t="s">
        <v>71</v>
      </c>
      <c r="G121" s="19">
        <v>45011</v>
      </c>
      <c r="H121" t="s">
        <v>292</v>
      </c>
      <c r="I121" t="s">
        <v>4</v>
      </c>
      <c r="J121" t="s">
        <v>28</v>
      </c>
      <c r="K121">
        <v>30</v>
      </c>
      <c r="L121" t="s">
        <v>7</v>
      </c>
      <c r="M121">
        <v>4</v>
      </c>
      <c r="N121">
        <v>30</v>
      </c>
      <c r="O121">
        <v>120</v>
      </c>
      <c r="P121">
        <v>1.7999999999999998</v>
      </c>
      <c r="Q121">
        <v>2.4</v>
      </c>
    </row>
    <row r="122" spans="1:17">
      <c r="A122">
        <v>284</v>
      </c>
      <c r="B122">
        <v>8</v>
      </c>
      <c r="C122">
        <v>2</v>
      </c>
      <c r="D122">
        <v>2023</v>
      </c>
      <c r="E122" t="s">
        <v>34</v>
      </c>
      <c r="F122" t="s">
        <v>41</v>
      </c>
      <c r="G122" s="19">
        <v>44965</v>
      </c>
      <c r="H122" t="s">
        <v>293</v>
      </c>
      <c r="I122" t="s">
        <v>4</v>
      </c>
      <c r="J122" t="s">
        <v>28</v>
      </c>
      <c r="K122">
        <v>43</v>
      </c>
      <c r="L122" t="s">
        <v>7</v>
      </c>
      <c r="M122">
        <v>4</v>
      </c>
      <c r="N122">
        <v>50</v>
      </c>
      <c r="O122">
        <v>200</v>
      </c>
      <c r="P122">
        <v>3</v>
      </c>
      <c r="Q122">
        <v>4</v>
      </c>
    </row>
    <row r="123" spans="1:17">
      <c r="A123">
        <v>280</v>
      </c>
      <c r="B123">
        <v>4</v>
      </c>
      <c r="C123">
        <v>4</v>
      </c>
      <c r="D123">
        <v>2023</v>
      </c>
      <c r="E123" t="s">
        <v>29</v>
      </c>
      <c r="F123" t="s">
        <v>39</v>
      </c>
      <c r="G123" s="19">
        <v>45020</v>
      </c>
      <c r="H123" t="s">
        <v>294</v>
      </c>
      <c r="I123" t="s">
        <v>3</v>
      </c>
      <c r="J123" t="s">
        <v>28</v>
      </c>
      <c r="K123">
        <v>37</v>
      </c>
      <c r="L123" t="s">
        <v>7</v>
      </c>
      <c r="M123">
        <v>3</v>
      </c>
      <c r="N123">
        <v>500</v>
      </c>
      <c r="O123">
        <v>1500</v>
      </c>
      <c r="P123">
        <v>22.5</v>
      </c>
      <c r="Q123">
        <v>30</v>
      </c>
    </row>
    <row r="124" spans="1:17">
      <c r="A124">
        <v>278</v>
      </c>
      <c r="B124">
        <v>13</v>
      </c>
      <c r="C124">
        <v>3</v>
      </c>
      <c r="D124">
        <v>2023</v>
      </c>
      <c r="E124" t="s">
        <v>46</v>
      </c>
      <c r="F124" t="s">
        <v>71</v>
      </c>
      <c r="G124" s="19">
        <v>44998</v>
      </c>
      <c r="H124" t="s">
        <v>295</v>
      </c>
      <c r="I124" t="s">
        <v>3</v>
      </c>
      <c r="J124" t="s">
        <v>28</v>
      </c>
      <c r="K124">
        <v>37</v>
      </c>
      <c r="L124" t="s">
        <v>7</v>
      </c>
      <c r="M124">
        <v>4</v>
      </c>
      <c r="N124">
        <v>25</v>
      </c>
      <c r="O124">
        <v>100</v>
      </c>
      <c r="P124">
        <v>1.5</v>
      </c>
      <c r="Q124">
        <v>2</v>
      </c>
    </row>
    <row r="125" spans="1:17">
      <c r="A125">
        <v>277</v>
      </c>
      <c r="B125">
        <v>18</v>
      </c>
      <c r="C125">
        <v>8</v>
      </c>
      <c r="D125">
        <v>2023</v>
      </c>
      <c r="E125" t="s">
        <v>25</v>
      </c>
      <c r="F125" t="s">
        <v>62</v>
      </c>
      <c r="G125" s="19">
        <v>45156</v>
      </c>
      <c r="H125" t="s">
        <v>296</v>
      </c>
      <c r="I125" t="s">
        <v>4</v>
      </c>
      <c r="J125" t="s">
        <v>28</v>
      </c>
      <c r="K125">
        <v>36</v>
      </c>
      <c r="L125" t="s">
        <v>7</v>
      </c>
      <c r="M125">
        <v>4</v>
      </c>
      <c r="N125">
        <v>25</v>
      </c>
      <c r="O125">
        <v>100</v>
      </c>
      <c r="P125">
        <v>1.5</v>
      </c>
      <c r="Q125">
        <v>2</v>
      </c>
    </row>
    <row r="126" spans="1:17">
      <c r="A126">
        <v>275</v>
      </c>
      <c r="B126">
        <v>8</v>
      </c>
      <c r="C126">
        <v>4</v>
      </c>
      <c r="D126">
        <v>2023</v>
      </c>
      <c r="E126" t="s">
        <v>37</v>
      </c>
      <c r="F126" t="s">
        <v>39</v>
      </c>
      <c r="G126" s="19">
        <v>45024</v>
      </c>
      <c r="H126" t="s">
        <v>297</v>
      </c>
      <c r="I126" t="s">
        <v>4</v>
      </c>
      <c r="J126" t="s">
        <v>28</v>
      </c>
      <c r="K126">
        <v>43</v>
      </c>
      <c r="L126" t="s">
        <v>7</v>
      </c>
      <c r="M126">
        <v>2</v>
      </c>
      <c r="N126">
        <v>500</v>
      </c>
      <c r="O126">
        <v>1000</v>
      </c>
      <c r="P126">
        <v>15</v>
      </c>
      <c r="Q126">
        <v>20</v>
      </c>
    </row>
    <row r="127" spans="1:17">
      <c r="A127">
        <v>124</v>
      </c>
      <c r="B127">
        <v>27</v>
      </c>
      <c r="C127">
        <v>10</v>
      </c>
      <c r="D127">
        <v>2023</v>
      </c>
      <c r="E127" t="s">
        <v>25</v>
      </c>
      <c r="F127" t="s">
        <v>32</v>
      </c>
      <c r="G127" s="19">
        <v>45226</v>
      </c>
      <c r="H127" t="s">
        <v>298</v>
      </c>
      <c r="I127" t="s">
        <v>4</v>
      </c>
      <c r="J127" t="s">
        <v>28</v>
      </c>
      <c r="K127">
        <v>33</v>
      </c>
      <c r="L127" t="s">
        <v>7</v>
      </c>
      <c r="M127">
        <v>4</v>
      </c>
      <c r="N127">
        <v>500</v>
      </c>
      <c r="O127">
        <v>2000</v>
      </c>
      <c r="P127">
        <v>30</v>
      </c>
      <c r="Q127">
        <v>40</v>
      </c>
    </row>
    <row r="128" spans="1:17">
      <c r="A128">
        <v>125</v>
      </c>
      <c r="B128">
        <v>8</v>
      </c>
      <c r="C128">
        <v>8</v>
      </c>
      <c r="D128">
        <v>2023</v>
      </c>
      <c r="E128" t="s">
        <v>29</v>
      </c>
      <c r="F128" t="s">
        <v>62</v>
      </c>
      <c r="G128" s="19">
        <v>45146</v>
      </c>
      <c r="H128" t="s">
        <v>299</v>
      </c>
      <c r="I128" t="s">
        <v>4</v>
      </c>
      <c r="J128" t="s">
        <v>28</v>
      </c>
      <c r="K128">
        <v>48</v>
      </c>
      <c r="L128" t="s">
        <v>7</v>
      </c>
      <c r="M128">
        <v>2</v>
      </c>
      <c r="N128">
        <v>50</v>
      </c>
      <c r="O128">
        <v>100</v>
      </c>
      <c r="P128">
        <v>1.5</v>
      </c>
      <c r="Q128">
        <v>2</v>
      </c>
    </row>
    <row r="129" spans="1:17">
      <c r="A129">
        <v>264</v>
      </c>
      <c r="B129">
        <v>28</v>
      </c>
      <c r="C129">
        <v>1</v>
      </c>
      <c r="D129">
        <v>2023</v>
      </c>
      <c r="E129" t="s">
        <v>37</v>
      </c>
      <c r="F129" t="s">
        <v>75</v>
      </c>
      <c r="G129" s="19">
        <v>44954</v>
      </c>
      <c r="H129" t="s">
        <v>300</v>
      </c>
      <c r="I129" t="s">
        <v>4</v>
      </c>
      <c r="J129" t="s">
        <v>28</v>
      </c>
      <c r="K129">
        <v>47</v>
      </c>
      <c r="L129" t="s">
        <v>7</v>
      </c>
      <c r="M129">
        <v>3</v>
      </c>
      <c r="N129">
        <v>300</v>
      </c>
      <c r="O129">
        <v>900</v>
      </c>
      <c r="P129">
        <v>13.5</v>
      </c>
      <c r="Q129">
        <v>18</v>
      </c>
    </row>
    <row r="130" spans="1:17">
      <c r="A130">
        <v>127</v>
      </c>
      <c r="B130">
        <v>24</v>
      </c>
      <c r="C130">
        <v>7</v>
      </c>
      <c r="D130">
        <v>2023</v>
      </c>
      <c r="E130" t="s">
        <v>46</v>
      </c>
      <c r="F130" t="s">
        <v>51</v>
      </c>
      <c r="G130" s="19">
        <v>45131</v>
      </c>
      <c r="H130" t="s">
        <v>301</v>
      </c>
      <c r="I130" t="s">
        <v>3</v>
      </c>
      <c r="J130" t="s">
        <v>28</v>
      </c>
      <c r="K130">
        <v>33</v>
      </c>
      <c r="L130" t="s">
        <v>7</v>
      </c>
      <c r="M130">
        <v>2</v>
      </c>
      <c r="N130">
        <v>25</v>
      </c>
      <c r="O130">
        <v>50</v>
      </c>
      <c r="P130">
        <v>0.75</v>
      </c>
      <c r="Q130">
        <v>1</v>
      </c>
    </row>
    <row r="131" spans="1:17">
      <c r="A131">
        <v>259</v>
      </c>
      <c r="B131">
        <v>9</v>
      </c>
      <c r="C131">
        <v>8</v>
      </c>
      <c r="D131">
        <v>2023</v>
      </c>
      <c r="E131" t="s">
        <v>34</v>
      </c>
      <c r="F131" t="s">
        <v>62</v>
      </c>
      <c r="G131" s="19">
        <v>45147</v>
      </c>
      <c r="H131" t="s">
        <v>302</v>
      </c>
      <c r="I131" t="s">
        <v>3</v>
      </c>
      <c r="J131" t="s">
        <v>28</v>
      </c>
      <c r="K131">
        <v>45</v>
      </c>
      <c r="L131" t="s">
        <v>7</v>
      </c>
      <c r="M131">
        <v>4</v>
      </c>
      <c r="N131">
        <v>50</v>
      </c>
      <c r="O131">
        <v>200</v>
      </c>
      <c r="P131">
        <v>3</v>
      </c>
      <c r="Q131">
        <v>4</v>
      </c>
    </row>
    <row r="132" spans="1:17">
      <c r="A132">
        <v>258</v>
      </c>
      <c r="B132">
        <v>4</v>
      </c>
      <c r="C132">
        <v>12</v>
      </c>
      <c r="D132">
        <v>2023</v>
      </c>
      <c r="E132" t="s">
        <v>46</v>
      </c>
      <c r="F132" t="s">
        <v>30</v>
      </c>
      <c r="G132" s="19">
        <v>45264</v>
      </c>
      <c r="H132" t="s">
        <v>303</v>
      </c>
      <c r="I132" t="s">
        <v>3</v>
      </c>
      <c r="J132" t="s">
        <v>28</v>
      </c>
      <c r="K132">
        <v>37</v>
      </c>
      <c r="L132" t="s">
        <v>7</v>
      </c>
      <c r="M132">
        <v>1</v>
      </c>
      <c r="N132">
        <v>50</v>
      </c>
      <c r="O132">
        <v>50</v>
      </c>
      <c r="P132">
        <v>0.75</v>
      </c>
      <c r="Q132">
        <v>1</v>
      </c>
    </row>
    <row r="133" spans="1:17">
      <c r="A133">
        <v>255</v>
      </c>
      <c r="B133">
        <v>8</v>
      </c>
      <c r="C133">
        <v>4</v>
      </c>
      <c r="D133">
        <v>2023</v>
      </c>
      <c r="E133" t="s">
        <v>37</v>
      </c>
      <c r="F133" t="s">
        <v>39</v>
      </c>
      <c r="G133" s="19">
        <v>45024</v>
      </c>
      <c r="H133" t="s">
        <v>304</v>
      </c>
      <c r="I133" t="s">
        <v>4</v>
      </c>
      <c r="J133" t="s">
        <v>28</v>
      </c>
      <c r="K133">
        <v>48</v>
      </c>
      <c r="L133" t="s">
        <v>7</v>
      </c>
      <c r="M133">
        <v>1</v>
      </c>
      <c r="N133">
        <v>30</v>
      </c>
      <c r="O133">
        <v>30</v>
      </c>
      <c r="P133">
        <v>0.44999999999999996</v>
      </c>
      <c r="Q133">
        <v>0.6</v>
      </c>
    </row>
    <row r="134" spans="1:17">
      <c r="A134">
        <v>245</v>
      </c>
      <c r="B134">
        <v>6</v>
      </c>
      <c r="C134">
        <v>9</v>
      </c>
      <c r="D134">
        <v>2023</v>
      </c>
      <c r="E134" t="s">
        <v>34</v>
      </c>
      <c r="F134" t="s">
        <v>48</v>
      </c>
      <c r="G134" s="19">
        <v>45175</v>
      </c>
      <c r="H134" t="s">
        <v>305</v>
      </c>
      <c r="I134" t="s">
        <v>4</v>
      </c>
      <c r="J134" t="s">
        <v>28</v>
      </c>
      <c r="K134">
        <v>47</v>
      </c>
      <c r="L134" t="s">
        <v>7</v>
      </c>
      <c r="M134">
        <v>3</v>
      </c>
      <c r="N134">
        <v>30</v>
      </c>
      <c r="O134">
        <v>90</v>
      </c>
      <c r="P134">
        <v>1.3499999999999999</v>
      </c>
      <c r="Q134">
        <v>1.8</v>
      </c>
    </row>
    <row r="135" spans="1:17">
      <c r="A135">
        <v>205</v>
      </c>
      <c r="B135">
        <v>7</v>
      </c>
      <c r="C135">
        <v>11</v>
      </c>
      <c r="D135">
        <v>2023</v>
      </c>
      <c r="E135" t="s">
        <v>29</v>
      </c>
      <c r="F135" t="s">
        <v>26</v>
      </c>
      <c r="G135" s="19">
        <v>45237</v>
      </c>
      <c r="H135" t="s">
        <v>306</v>
      </c>
      <c r="I135" t="s">
        <v>3</v>
      </c>
      <c r="J135" t="s">
        <v>28</v>
      </c>
      <c r="K135">
        <v>43</v>
      </c>
      <c r="L135" t="s">
        <v>7</v>
      </c>
      <c r="M135">
        <v>1</v>
      </c>
      <c r="N135">
        <v>25</v>
      </c>
      <c r="O135">
        <v>25</v>
      </c>
      <c r="P135">
        <v>0.375</v>
      </c>
      <c r="Q135">
        <v>0.5</v>
      </c>
    </row>
    <row r="136" spans="1:17">
      <c r="A136">
        <v>202</v>
      </c>
      <c r="B136">
        <v>26</v>
      </c>
      <c r="C136">
        <v>3</v>
      </c>
      <c r="D136">
        <v>2023</v>
      </c>
      <c r="E136" t="s">
        <v>69</v>
      </c>
      <c r="F136" t="s">
        <v>71</v>
      </c>
      <c r="G136" s="19">
        <v>45011</v>
      </c>
      <c r="H136" t="s">
        <v>307</v>
      </c>
      <c r="I136" t="s">
        <v>3</v>
      </c>
      <c r="J136" t="s">
        <v>28</v>
      </c>
      <c r="K136">
        <v>34</v>
      </c>
      <c r="L136" t="s">
        <v>7</v>
      </c>
      <c r="M136">
        <v>4</v>
      </c>
      <c r="N136">
        <v>300</v>
      </c>
      <c r="O136">
        <v>1200</v>
      </c>
      <c r="P136">
        <v>18</v>
      </c>
      <c r="Q136">
        <v>24</v>
      </c>
    </row>
    <row r="137" spans="1:17">
      <c r="A137">
        <v>197</v>
      </c>
      <c r="B137">
        <v>6</v>
      </c>
      <c r="C137">
        <v>3</v>
      </c>
      <c r="D137">
        <v>2023</v>
      </c>
      <c r="E137" t="s">
        <v>46</v>
      </c>
      <c r="F137" t="s">
        <v>71</v>
      </c>
      <c r="G137" s="19">
        <v>44991</v>
      </c>
      <c r="H137" t="s">
        <v>308</v>
      </c>
      <c r="I137" t="s">
        <v>3</v>
      </c>
      <c r="J137" t="s">
        <v>28</v>
      </c>
      <c r="K137">
        <v>42</v>
      </c>
      <c r="L137" t="s">
        <v>7</v>
      </c>
      <c r="M137">
        <v>4</v>
      </c>
      <c r="N137">
        <v>50</v>
      </c>
      <c r="O137">
        <v>200</v>
      </c>
      <c r="P137">
        <v>3</v>
      </c>
      <c r="Q137">
        <v>4</v>
      </c>
    </row>
    <row r="138" spans="1:17">
      <c r="A138">
        <v>196</v>
      </c>
      <c r="B138">
        <v>30</v>
      </c>
      <c r="C138">
        <v>9</v>
      </c>
      <c r="D138">
        <v>2023</v>
      </c>
      <c r="E138" t="s">
        <v>37</v>
      </c>
      <c r="F138" t="s">
        <v>48</v>
      </c>
      <c r="G138" s="19">
        <v>45199</v>
      </c>
      <c r="H138" t="s">
        <v>309</v>
      </c>
      <c r="I138" t="s">
        <v>3</v>
      </c>
      <c r="J138" t="s">
        <v>28</v>
      </c>
      <c r="K138">
        <v>32</v>
      </c>
      <c r="L138" t="s">
        <v>7</v>
      </c>
      <c r="M138">
        <v>3</v>
      </c>
      <c r="N138">
        <v>300</v>
      </c>
      <c r="O138">
        <v>900</v>
      </c>
      <c r="P138">
        <v>13.5</v>
      </c>
      <c r="Q138">
        <v>18</v>
      </c>
    </row>
    <row r="139" spans="1:17">
      <c r="A139">
        <v>188</v>
      </c>
      <c r="B139">
        <v>3</v>
      </c>
      <c r="C139">
        <v>5</v>
      </c>
      <c r="D139">
        <v>2023</v>
      </c>
      <c r="E139" t="s">
        <v>34</v>
      </c>
      <c r="F139" t="s">
        <v>35</v>
      </c>
      <c r="G139" s="19">
        <v>45049</v>
      </c>
      <c r="H139" t="s">
        <v>310</v>
      </c>
      <c r="I139" t="s">
        <v>4</v>
      </c>
      <c r="J139" t="s">
        <v>28</v>
      </c>
      <c r="K139">
        <v>40</v>
      </c>
      <c r="L139" t="s">
        <v>7</v>
      </c>
      <c r="M139">
        <v>3</v>
      </c>
      <c r="N139">
        <v>25</v>
      </c>
      <c r="O139">
        <v>75</v>
      </c>
      <c r="P139">
        <v>1.125</v>
      </c>
      <c r="Q139">
        <v>1.5</v>
      </c>
    </row>
    <row r="140" spans="1:17">
      <c r="A140">
        <v>180</v>
      </c>
      <c r="B140">
        <v>1</v>
      </c>
      <c r="C140">
        <v>1</v>
      </c>
      <c r="D140">
        <v>2023</v>
      </c>
      <c r="E140" t="s">
        <v>69</v>
      </c>
      <c r="F140" t="s">
        <v>75</v>
      </c>
      <c r="G140" s="19">
        <v>44927</v>
      </c>
      <c r="H140" t="s">
        <v>311</v>
      </c>
      <c r="I140" t="s">
        <v>4</v>
      </c>
      <c r="J140" t="s">
        <v>28</v>
      </c>
      <c r="K140">
        <v>41</v>
      </c>
      <c r="L140" t="s">
        <v>7</v>
      </c>
      <c r="M140">
        <v>3</v>
      </c>
      <c r="N140">
        <v>300</v>
      </c>
      <c r="O140">
        <v>900</v>
      </c>
      <c r="P140">
        <v>13.5</v>
      </c>
      <c r="Q140">
        <v>18</v>
      </c>
    </row>
    <row r="141" spans="1:17">
      <c r="A141">
        <v>138</v>
      </c>
      <c r="B141">
        <v>23</v>
      </c>
      <c r="C141">
        <v>3</v>
      </c>
      <c r="D141">
        <v>2023</v>
      </c>
      <c r="E141" t="s">
        <v>44</v>
      </c>
      <c r="F141" t="s">
        <v>71</v>
      </c>
      <c r="G141" s="19">
        <v>45008</v>
      </c>
      <c r="H141" t="s">
        <v>312</v>
      </c>
      <c r="I141" t="s">
        <v>4</v>
      </c>
      <c r="J141" t="s">
        <v>28</v>
      </c>
      <c r="K141">
        <v>49</v>
      </c>
      <c r="L141" t="s">
        <v>7</v>
      </c>
      <c r="M141">
        <v>4</v>
      </c>
      <c r="N141">
        <v>50</v>
      </c>
      <c r="O141">
        <v>200</v>
      </c>
      <c r="P141">
        <v>3</v>
      </c>
      <c r="Q141">
        <v>4</v>
      </c>
    </row>
    <row r="142" spans="1:17">
      <c r="A142">
        <v>178</v>
      </c>
      <c r="B142">
        <v>4</v>
      </c>
      <c r="C142">
        <v>10</v>
      </c>
      <c r="D142">
        <v>2023</v>
      </c>
      <c r="E142" t="s">
        <v>34</v>
      </c>
      <c r="F142" t="s">
        <v>32</v>
      </c>
      <c r="G142" s="19">
        <v>45203</v>
      </c>
      <c r="H142" t="s">
        <v>313</v>
      </c>
      <c r="I142" t="s">
        <v>4</v>
      </c>
      <c r="J142" t="s">
        <v>28</v>
      </c>
      <c r="K142">
        <v>40</v>
      </c>
      <c r="L142" t="s">
        <v>7</v>
      </c>
      <c r="M142">
        <v>2</v>
      </c>
      <c r="N142">
        <v>30</v>
      </c>
      <c r="O142">
        <v>60</v>
      </c>
      <c r="P142">
        <v>0.89999999999999991</v>
      </c>
      <c r="Q142">
        <v>1.2</v>
      </c>
    </row>
    <row r="143" spans="1:17">
      <c r="A143">
        <v>167</v>
      </c>
      <c r="B143">
        <v>17</v>
      </c>
      <c r="C143">
        <v>9</v>
      </c>
      <c r="D143">
        <v>2023</v>
      </c>
      <c r="E143" t="s">
        <v>69</v>
      </c>
      <c r="F143" t="s">
        <v>48</v>
      </c>
      <c r="G143" s="19">
        <v>45186</v>
      </c>
      <c r="H143" t="s">
        <v>314</v>
      </c>
      <c r="I143" t="s">
        <v>3</v>
      </c>
      <c r="J143" t="s">
        <v>28</v>
      </c>
      <c r="K143">
        <v>43</v>
      </c>
      <c r="L143" t="s">
        <v>7</v>
      </c>
      <c r="M143">
        <v>3</v>
      </c>
      <c r="N143">
        <v>50</v>
      </c>
      <c r="O143">
        <v>150</v>
      </c>
      <c r="P143">
        <v>2.25</v>
      </c>
      <c r="Q143">
        <v>3</v>
      </c>
    </row>
    <row r="144" spans="1:17">
      <c r="A144">
        <v>166</v>
      </c>
      <c r="B144">
        <v>2</v>
      </c>
      <c r="C144">
        <v>4</v>
      </c>
      <c r="D144">
        <v>2023</v>
      </c>
      <c r="E144" t="s">
        <v>69</v>
      </c>
      <c r="F144" t="s">
        <v>39</v>
      </c>
      <c r="G144" s="19">
        <v>45018</v>
      </c>
      <c r="H144" t="s">
        <v>315</v>
      </c>
      <c r="I144" t="s">
        <v>4</v>
      </c>
      <c r="J144" t="s">
        <v>28</v>
      </c>
      <c r="K144">
        <v>34</v>
      </c>
      <c r="L144" t="s">
        <v>7</v>
      </c>
      <c r="M144">
        <v>4</v>
      </c>
      <c r="N144">
        <v>500</v>
      </c>
      <c r="O144">
        <v>2000</v>
      </c>
      <c r="P144">
        <v>30</v>
      </c>
      <c r="Q144">
        <v>40</v>
      </c>
    </row>
    <row r="145" spans="1:17">
      <c r="A145">
        <v>162</v>
      </c>
      <c r="B145">
        <v>21</v>
      </c>
      <c r="C145">
        <v>8</v>
      </c>
      <c r="D145">
        <v>2023</v>
      </c>
      <c r="E145" t="s">
        <v>46</v>
      </c>
      <c r="F145" t="s">
        <v>62</v>
      </c>
      <c r="G145" s="19">
        <v>45159</v>
      </c>
      <c r="H145" t="s">
        <v>316</v>
      </c>
      <c r="I145" t="s">
        <v>4</v>
      </c>
      <c r="J145" t="s">
        <v>28</v>
      </c>
      <c r="K145">
        <v>39</v>
      </c>
      <c r="L145" t="s">
        <v>7</v>
      </c>
      <c r="M145">
        <v>2</v>
      </c>
      <c r="N145">
        <v>30</v>
      </c>
      <c r="O145">
        <v>60</v>
      </c>
      <c r="P145">
        <v>0.89999999999999991</v>
      </c>
      <c r="Q145">
        <v>1.2</v>
      </c>
    </row>
    <row r="146" spans="1:17">
      <c r="A146">
        <v>143</v>
      </c>
      <c r="B146">
        <v>17</v>
      </c>
      <c r="C146">
        <v>7</v>
      </c>
      <c r="D146">
        <v>2023</v>
      </c>
      <c r="E146" t="s">
        <v>46</v>
      </c>
      <c r="F146" t="s">
        <v>51</v>
      </c>
      <c r="G146" s="19">
        <v>45124</v>
      </c>
      <c r="H146" t="s">
        <v>317</v>
      </c>
      <c r="I146" t="s">
        <v>3</v>
      </c>
      <c r="J146" t="s">
        <v>28</v>
      </c>
      <c r="K146">
        <v>45</v>
      </c>
      <c r="L146" t="s">
        <v>7</v>
      </c>
      <c r="M146">
        <v>1</v>
      </c>
      <c r="N146">
        <v>50</v>
      </c>
      <c r="O146">
        <v>50</v>
      </c>
      <c r="P146">
        <v>0.75</v>
      </c>
      <c r="Q146">
        <v>1</v>
      </c>
    </row>
    <row r="147" spans="1:17">
      <c r="A147">
        <v>160</v>
      </c>
      <c r="B147">
        <v>11</v>
      </c>
      <c r="C147">
        <v>8</v>
      </c>
      <c r="D147">
        <v>2023</v>
      </c>
      <c r="E147" t="s">
        <v>25</v>
      </c>
      <c r="F147" t="s">
        <v>62</v>
      </c>
      <c r="G147" s="19">
        <v>45149</v>
      </c>
      <c r="H147" t="s">
        <v>318</v>
      </c>
      <c r="I147" t="s">
        <v>3</v>
      </c>
      <c r="J147" t="s">
        <v>28</v>
      </c>
      <c r="K147">
        <v>43</v>
      </c>
      <c r="L147" t="s">
        <v>7</v>
      </c>
      <c r="M147">
        <v>2</v>
      </c>
      <c r="N147">
        <v>50</v>
      </c>
      <c r="O147">
        <v>100</v>
      </c>
      <c r="P147">
        <v>1.5</v>
      </c>
      <c r="Q147">
        <v>2</v>
      </c>
    </row>
    <row r="148" spans="1:17">
      <c r="A148">
        <v>145</v>
      </c>
      <c r="B148">
        <v>2</v>
      </c>
      <c r="C148">
        <v>11</v>
      </c>
      <c r="D148">
        <v>2023</v>
      </c>
      <c r="E148" t="s">
        <v>44</v>
      </c>
      <c r="F148" t="s">
        <v>26</v>
      </c>
      <c r="G148" s="19">
        <v>45232</v>
      </c>
      <c r="H148" t="s">
        <v>319</v>
      </c>
      <c r="I148" t="s">
        <v>3</v>
      </c>
      <c r="J148" t="s">
        <v>28</v>
      </c>
      <c r="K148">
        <v>39</v>
      </c>
      <c r="L148" t="s">
        <v>7</v>
      </c>
      <c r="M148">
        <v>3</v>
      </c>
      <c r="N148">
        <v>25</v>
      </c>
      <c r="O148">
        <v>75</v>
      </c>
      <c r="P148">
        <v>1.125</v>
      </c>
      <c r="Q148">
        <v>1.5</v>
      </c>
    </row>
    <row r="149" spans="1:17">
      <c r="A149">
        <v>146</v>
      </c>
      <c r="B149">
        <v>28</v>
      </c>
      <c r="C149">
        <v>8</v>
      </c>
      <c r="D149">
        <v>2023</v>
      </c>
      <c r="E149" t="s">
        <v>46</v>
      </c>
      <c r="F149" t="s">
        <v>62</v>
      </c>
      <c r="G149" s="19">
        <v>45166</v>
      </c>
      <c r="H149" t="s">
        <v>320</v>
      </c>
      <c r="I149" t="s">
        <v>4</v>
      </c>
      <c r="J149" t="s">
        <v>28</v>
      </c>
      <c r="K149">
        <v>38</v>
      </c>
      <c r="L149" t="s">
        <v>7</v>
      </c>
      <c r="M149">
        <v>4</v>
      </c>
      <c r="N149">
        <v>50</v>
      </c>
      <c r="O149">
        <v>200</v>
      </c>
      <c r="P149">
        <v>3</v>
      </c>
      <c r="Q149">
        <v>4</v>
      </c>
    </row>
    <row r="150" spans="1:17">
      <c r="A150">
        <v>156</v>
      </c>
      <c r="B150">
        <v>25</v>
      </c>
      <c r="C150">
        <v>11</v>
      </c>
      <c r="D150">
        <v>2023</v>
      </c>
      <c r="E150" t="s">
        <v>37</v>
      </c>
      <c r="F150" t="s">
        <v>26</v>
      </c>
      <c r="G150" s="19">
        <v>45255</v>
      </c>
      <c r="H150" t="s">
        <v>321</v>
      </c>
      <c r="I150" t="s">
        <v>3</v>
      </c>
      <c r="J150" t="s">
        <v>28</v>
      </c>
      <c r="K150">
        <v>43</v>
      </c>
      <c r="L150" t="s">
        <v>7</v>
      </c>
      <c r="M150">
        <v>4</v>
      </c>
      <c r="N150">
        <v>25</v>
      </c>
      <c r="O150">
        <v>100</v>
      </c>
      <c r="P150">
        <v>1.5</v>
      </c>
      <c r="Q150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4D90-8E71-447A-8FFB-71D352BFF87C}">
  <dimension ref="A3:E8"/>
  <sheetViews>
    <sheetView workbookViewId="0">
      <selection activeCell="R24" sqref="R24"/>
    </sheetView>
  </sheetViews>
  <sheetFormatPr defaultRowHeight="15.75"/>
  <cols>
    <col min="1" max="1" width="18.375" bestFit="1" customWidth="1"/>
    <col min="2" max="2" width="13.25" bestFit="1" customWidth="1"/>
    <col min="3" max="3" width="7" bestFit="1" customWidth="1"/>
    <col min="4" max="4" width="11.25" bestFit="1" customWidth="1"/>
    <col min="5" max="6" width="10.75" bestFit="1" customWidth="1"/>
  </cols>
  <sheetData>
    <row r="3" spans="1:5">
      <c r="A3" s="18" t="s">
        <v>0</v>
      </c>
      <c r="B3" s="18" t="s">
        <v>18</v>
      </c>
    </row>
    <row r="4" spans="1:5">
      <c r="A4" s="18" t="s">
        <v>2</v>
      </c>
      <c r="B4" t="s">
        <v>28</v>
      </c>
      <c r="C4" t="s">
        <v>322</v>
      </c>
      <c r="D4" t="s">
        <v>323</v>
      </c>
      <c r="E4" t="s">
        <v>5</v>
      </c>
    </row>
    <row r="5" spans="1:5">
      <c r="A5" t="s">
        <v>6</v>
      </c>
      <c r="B5" s="13">
        <v>0.14918859649122806</v>
      </c>
      <c r="C5" s="13">
        <v>7.4747807017543855E-2</v>
      </c>
      <c r="D5" s="13">
        <v>9.0789473684210531E-2</v>
      </c>
      <c r="E5" s="13">
        <v>0.31472587719298245</v>
      </c>
    </row>
    <row r="6" spans="1:5">
      <c r="A6" t="s">
        <v>7</v>
      </c>
      <c r="B6" s="13">
        <v>0.13675438596491227</v>
      </c>
      <c r="C6" s="13">
        <v>0.10322368421052631</v>
      </c>
      <c r="D6" s="13">
        <v>0.10120614035087719</v>
      </c>
      <c r="E6" s="13">
        <v>0.34118421052631581</v>
      </c>
    </row>
    <row r="7" spans="1:5">
      <c r="A7" t="s">
        <v>8</v>
      </c>
      <c r="B7" s="13">
        <v>0.13004385964912279</v>
      </c>
      <c r="C7" s="13">
        <v>0.13596491228070176</v>
      </c>
      <c r="D7" s="13">
        <v>7.8081140350877196E-2</v>
      </c>
      <c r="E7" s="13">
        <v>0.34408991228070174</v>
      </c>
    </row>
    <row r="8" spans="1:5">
      <c r="A8" t="s">
        <v>5</v>
      </c>
      <c r="B8" s="13">
        <v>0.41598684210526315</v>
      </c>
      <c r="C8" s="13">
        <v>0.31393640350877194</v>
      </c>
      <c r="D8" s="13">
        <v>0.2700767543859649</v>
      </c>
      <c r="E8" s="13">
        <v>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topLeftCell="C1" workbookViewId="0">
      <selection activeCell="O1" sqref="O1:O1048576"/>
    </sheetView>
  </sheetViews>
  <sheetFormatPr defaultColWidth="11.25" defaultRowHeight="15.75"/>
  <cols>
    <col min="1" max="6" width="14.75" customWidth="1"/>
    <col min="7" max="7" width="10.5" bestFit="1" customWidth="1"/>
    <col min="8" max="8" width="13" customWidth="1"/>
    <col min="12" max="12" width="17.125" customWidth="1"/>
    <col min="14" max="14" width="14.125" style="24" customWidth="1"/>
    <col min="15" max="15" width="11.25" style="24"/>
    <col min="16" max="16" width="15.625" style="16" bestFit="1" customWidth="1"/>
    <col min="17" max="17" width="14.75" style="16" bestFit="1" customWidth="1"/>
    <col min="18" max="18" width="24.375" bestFit="1" customWidth="1"/>
    <col min="19" max="19" width="15.375" bestFit="1" customWidth="1"/>
    <col min="21" max="21" width="15.25" bestFit="1" customWidth="1"/>
  </cols>
  <sheetData>
    <row r="1" spans="1:21">
      <c r="A1" s="8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</v>
      </c>
      <c r="J1" s="9" t="s">
        <v>18</v>
      </c>
      <c r="K1" s="9" t="s">
        <v>19</v>
      </c>
      <c r="L1" s="9" t="s">
        <v>2</v>
      </c>
      <c r="M1" s="9" t="s">
        <v>20</v>
      </c>
      <c r="N1" s="21" t="s">
        <v>21</v>
      </c>
      <c r="O1" s="25" t="s">
        <v>22</v>
      </c>
      <c r="P1" s="17" t="s">
        <v>23</v>
      </c>
      <c r="Q1" s="17" t="str">
        <f>R4</f>
        <v>Commision 2024</v>
      </c>
    </row>
    <row r="2" spans="1:21">
      <c r="A2" s="2">
        <v>1</v>
      </c>
      <c r="B2" s="4">
        <f>DAY(G2)</f>
        <v>24</v>
      </c>
      <c r="C2" s="4">
        <f>MONTH(G2)</f>
        <v>11</v>
      </c>
      <c r="D2" s="4">
        <f>YEAR(G2)</f>
        <v>2023</v>
      </c>
      <c r="E2" s="4" t="str">
        <f>TEXT(G2,"DDD")</f>
        <v>Fri</v>
      </c>
      <c r="F2" s="4" t="str">
        <f>TEXT(G2,"MMM")</f>
        <v>Nov</v>
      </c>
      <c r="G2" s="3">
        <v>45254</v>
      </c>
      <c r="H2" s="4" t="s">
        <v>27</v>
      </c>
      <c r="I2" s="4" t="s">
        <v>4</v>
      </c>
      <c r="J2" s="4" t="str" cm="1">
        <f t="array" ref="J2">_xlfn.IFS(K2&gt;=50, "Senior", K2&gt;=30, "Adult", K2&lt;30,"Young Adult")</f>
        <v>Senior</v>
      </c>
      <c r="K2" s="4">
        <v>64</v>
      </c>
      <c r="L2" s="4" t="s">
        <v>6</v>
      </c>
      <c r="M2" s="4">
        <v>3</v>
      </c>
      <c r="N2" s="22">
        <v>50</v>
      </c>
      <c r="O2" s="24">
        <f>M2 * N2</f>
        <v>150</v>
      </c>
      <c r="P2" s="16">
        <f>O2 * $S$3</f>
        <v>2.25</v>
      </c>
      <c r="Q2" s="16">
        <f>O2 * $S$4</f>
        <v>3</v>
      </c>
      <c r="S2" t="s">
        <v>324</v>
      </c>
    </row>
    <row r="3" spans="1:21">
      <c r="A3" s="2">
        <v>2</v>
      </c>
      <c r="B3" s="4">
        <f t="shared" ref="B3:B66" si="0">DAY(G3)</f>
        <v>27</v>
      </c>
      <c r="C3" s="4">
        <f t="shared" ref="C3:C66" si="1">MONTH(G3)</f>
        <v>2</v>
      </c>
      <c r="D3" s="4">
        <f t="shared" ref="D3:D66" si="2">YEAR(G3)</f>
        <v>2023</v>
      </c>
      <c r="E3" s="4" t="str">
        <f t="shared" ref="E3:E66" si="3">TEXT(G3,"DDD")</f>
        <v>Mon</v>
      </c>
      <c r="F3" s="4" t="str">
        <f t="shared" ref="F3:F66" si="4">TEXT(G3,"MMM")</f>
        <v>Feb</v>
      </c>
      <c r="G3" s="3">
        <v>44984</v>
      </c>
      <c r="H3" s="4" t="s">
        <v>325</v>
      </c>
      <c r="I3" s="4" t="s">
        <v>3</v>
      </c>
      <c r="J3" s="4" t="str" cm="1">
        <f t="array" ref="J3">_xlfn.IFS(K3&gt;=50, "Senior", K3&gt;=30, "Adult", K3&lt;30,"Young Adult")</f>
        <v>Senior</v>
      </c>
      <c r="K3" s="4">
        <v>64</v>
      </c>
      <c r="L3" s="4" t="s">
        <v>7</v>
      </c>
      <c r="M3" s="4">
        <v>2</v>
      </c>
      <c r="N3" s="22">
        <v>500</v>
      </c>
      <c r="O3" s="24">
        <f>M3 * N3</f>
        <v>1000</v>
      </c>
      <c r="P3" s="16">
        <f>O3 * $S$3</f>
        <v>15</v>
      </c>
      <c r="Q3" s="16">
        <f>O3 * $S$4</f>
        <v>20</v>
      </c>
      <c r="R3" t="s">
        <v>23</v>
      </c>
      <c r="S3" s="13">
        <v>1.4999999999999999E-2</v>
      </c>
    </row>
    <row r="4" spans="1:21">
      <c r="A4" s="2">
        <v>3</v>
      </c>
      <c r="B4" s="4">
        <f t="shared" si="0"/>
        <v>13</v>
      </c>
      <c r="C4" s="4">
        <f t="shared" si="1"/>
        <v>1</v>
      </c>
      <c r="D4" s="4">
        <f t="shared" si="2"/>
        <v>2023</v>
      </c>
      <c r="E4" s="4" t="str">
        <f t="shared" si="3"/>
        <v>Fri</v>
      </c>
      <c r="F4" s="4" t="str">
        <f t="shared" si="4"/>
        <v>Jan</v>
      </c>
      <c r="G4" s="3">
        <v>44939</v>
      </c>
      <c r="H4" s="4" t="s">
        <v>326</v>
      </c>
      <c r="I4" s="4" t="s">
        <v>4</v>
      </c>
      <c r="J4" s="4" t="str" cm="1">
        <f t="array" ref="J4">_xlfn.IFS(K4&gt;=50, "Senior", K4&gt;=30, "Adult", K4&lt;30,"Young Adult")</f>
        <v>Senior</v>
      </c>
      <c r="K4" s="4">
        <v>64</v>
      </c>
      <c r="L4" s="4" t="s">
        <v>8</v>
      </c>
      <c r="M4" s="4">
        <v>1</v>
      </c>
      <c r="N4" s="22">
        <v>30</v>
      </c>
      <c r="O4" s="24">
        <f>M4 * N4</f>
        <v>30</v>
      </c>
      <c r="P4" s="16">
        <f>O4 * $S$3</f>
        <v>0.44999999999999996</v>
      </c>
      <c r="Q4" s="16">
        <f>O4 * $S$4</f>
        <v>0.6</v>
      </c>
      <c r="R4" t="s">
        <v>24</v>
      </c>
      <c r="S4" s="14">
        <v>0.02</v>
      </c>
    </row>
    <row r="5" spans="1:21">
      <c r="A5" s="2">
        <v>4</v>
      </c>
      <c r="B5" s="4">
        <f t="shared" si="0"/>
        <v>21</v>
      </c>
      <c r="C5" s="4">
        <f t="shared" si="1"/>
        <v>5</v>
      </c>
      <c r="D5" s="4">
        <f t="shared" si="2"/>
        <v>2023</v>
      </c>
      <c r="E5" s="4" t="str">
        <f t="shared" si="3"/>
        <v>Sun</v>
      </c>
      <c r="F5" s="4" t="str">
        <f t="shared" si="4"/>
        <v>May</v>
      </c>
      <c r="G5" s="3">
        <v>45067</v>
      </c>
      <c r="H5" s="4" t="s">
        <v>178</v>
      </c>
      <c r="I5" s="4" t="s">
        <v>4</v>
      </c>
      <c r="J5" s="4" t="str" cm="1">
        <f t="array" ref="J5">_xlfn.IFS(K5&gt;=50, "Senior", K5&gt;=30, "Adult", K5&lt;30,"Young Adult")</f>
        <v>Senior</v>
      </c>
      <c r="K5" s="4">
        <v>64</v>
      </c>
      <c r="L5" s="4" t="s">
        <v>7</v>
      </c>
      <c r="M5" s="4">
        <v>1</v>
      </c>
      <c r="N5" s="22">
        <v>500</v>
      </c>
      <c r="O5" s="24">
        <f>M5 * N5</f>
        <v>500</v>
      </c>
      <c r="P5" s="16">
        <f>O5 * $S$3</f>
        <v>7.5</v>
      </c>
      <c r="Q5" s="16">
        <f>O5 * $S$4</f>
        <v>10</v>
      </c>
      <c r="S5" s="15"/>
    </row>
    <row r="6" spans="1:21">
      <c r="A6" s="2">
        <v>5</v>
      </c>
      <c r="B6" s="4">
        <f t="shared" si="0"/>
        <v>6</v>
      </c>
      <c r="C6" s="4">
        <f t="shared" si="1"/>
        <v>5</v>
      </c>
      <c r="D6" s="4">
        <f t="shared" si="2"/>
        <v>2023</v>
      </c>
      <c r="E6" s="4" t="str">
        <f t="shared" si="3"/>
        <v>Sat</v>
      </c>
      <c r="F6" s="4" t="str">
        <f t="shared" si="4"/>
        <v>May</v>
      </c>
      <c r="G6" s="3">
        <v>45052</v>
      </c>
      <c r="H6" s="4" t="s">
        <v>38</v>
      </c>
      <c r="I6" s="4" t="s">
        <v>4</v>
      </c>
      <c r="J6" s="4" t="str" cm="1">
        <f t="array" ref="J6">_xlfn.IFS(K6&gt;=50, "Senior", K6&gt;=30, "Adult", K6&lt;30,"Young Adult")</f>
        <v>Senior</v>
      </c>
      <c r="K6" s="4">
        <v>64</v>
      </c>
      <c r="L6" s="4" t="s">
        <v>6</v>
      </c>
      <c r="M6" s="4">
        <v>2</v>
      </c>
      <c r="N6" s="22">
        <v>50</v>
      </c>
      <c r="O6" s="24">
        <f>M6 * N6</f>
        <v>100</v>
      </c>
      <c r="P6" s="16">
        <f>O6 * $S$3</f>
        <v>1.5</v>
      </c>
      <c r="Q6" s="16">
        <f>O6 * $S$4</f>
        <v>2</v>
      </c>
    </row>
    <row r="7" spans="1:21">
      <c r="A7" s="2">
        <v>6</v>
      </c>
      <c r="B7" s="4">
        <f t="shared" si="0"/>
        <v>25</v>
      </c>
      <c r="C7" s="4">
        <f t="shared" si="1"/>
        <v>4</v>
      </c>
      <c r="D7" s="4">
        <f t="shared" si="2"/>
        <v>2023</v>
      </c>
      <c r="E7" s="4" t="str">
        <f t="shared" si="3"/>
        <v>Tue</v>
      </c>
      <c r="F7" s="4" t="str">
        <f t="shared" si="4"/>
        <v>Apr</v>
      </c>
      <c r="G7" s="3">
        <v>45041</v>
      </c>
      <c r="H7" s="4" t="s">
        <v>40</v>
      </c>
      <c r="I7" s="4" t="s">
        <v>3</v>
      </c>
      <c r="J7" s="4" t="str" cm="1">
        <f t="array" ref="J7">_xlfn.IFS(K7&gt;=50, "Senior", K7&gt;=30, "Adult", K7&lt;30,"Young Adult")</f>
        <v>Senior</v>
      </c>
      <c r="K7" s="4">
        <v>64</v>
      </c>
      <c r="L7" s="4" t="s">
        <v>6</v>
      </c>
      <c r="M7" s="4">
        <v>1</v>
      </c>
      <c r="N7" s="22">
        <v>30</v>
      </c>
      <c r="O7" s="24">
        <f>M7 * N7</f>
        <v>30</v>
      </c>
      <c r="P7" s="16">
        <f>O7 * $S$3</f>
        <v>0.44999999999999996</v>
      </c>
      <c r="Q7" s="16">
        <f>O7 * $S$4</f>
        <v>0.6</v>
      </c>
    </row>
    <row r="8" spans="1:21">
      <c r="A8" s="2">
        <v>7</v>
      </c>
      <c r="B8" s="4">
        <f t="shared" si="0"/>
        <v>13</v>
      </c>
      <c r="C8" s="4">
        <f t="shared" si="1"/>
        <v>3</v>
      </c>
      <c r="D8" s="4">
        <f t="shared" si="2"/>
        <v>2023</v>
      </c>
      <c r="E8" s="4" t="str">
        <f t="shared" si="3"/>
        <v>Mon</v>
      </c>
      <c r="F8" s="4" t="str">
        <f t="shared" si="4"/>
        <v>Mar</v>
      </c>
      <c r="G8" s="3">
        <v>44998</v>
      </c>
      <c r="H8" s="4" t="s">
        <v>181</v>
      </c>
      <c r="I8" s="4" t="s">
        <v>4</v>
      </c>
      <c r="J8" s="4" t="str" cm="1">
        <f t="array" ref="J8">_xlfn.IFS(K8&gt;=50, "Senior", K8&gt;=30, "Adult", K8&lt;30,"Young Adult")</f>
        <v>Senior</v>
      </c>
      <c r="K8" s="4">
        <v>64</v>
      </c>
      <c r="L8" s="4" t="s">
        <v>7</v>
      </c>
      <c r="M8" s="4">
        <v>2</v>
      </c>
      <c r="N8" s="22">
        <v>25</v>
      </c>
      <c r="O8" s="24">
        <f>M8 * N8</f>
        <v>50</v>
      </c>
      <c r="P8" s="16">
        <f>O8 * $S$3</f>
        <v>0.75</v>
      </c>
      <c r="Q8" s="16">
        <f>O8 * $S$4</f>
        <v>1</v>
      </c>
    </row>
    <row r="9" spans="1:21">
      <c r="A9" s="2">
        <v>8</v>
      </c>
      <c r="B9" s="4">
        <f t="shared" si="0"/>
        <v>22</v>
      </c>
      <c r="C9" s="4">
        <f t="shared" si="1"/>
        <v>2</v>
      </c>
      <c r="D9" s="4">
        <f t="shared" si="2"/>
        <v>2023</v>
      </c>
      <c r="E9" s="4" t="str">
        <f t="shared" si="3"/>
        <v>Wed</v>
      </c>
      <c r="F9" s="4" t="str">
        <f t="shared" si="4"/>
        <v>Feb</v>
      </c>
      <c r="G9" s="3">
        <v>44979</v>
      </c>
      <c r="H9" s="4" t="s">
        <v>327</v>
      </c>
      <c r="I9" s="4" t="s">
        <v>4</v>
      </c>
      <c r="J9" s="4" t="str" cm="1">
        <f t="array" ref="J9">_xlfn.IFS(K9&gt;=50, "Senior", K9&gt;=30, "Adult", K9&lt;30,"Young Adult")</f>
        <v>Senior</v>
      </c>
      <c r="K9" s="4">
        <v>64</v>
      </c>
      <c r="L9" s="4" t="s">
        <v>8</v>
      </c>
      <c r="M9" s="4">
        <v>4</v>
      </c>
      <c r="N9" s="22">
        <v>25</v>
      </c>
      <c r="O9" s="24">
        <f>M9 * N9</f>
        <v>100</v>
      </c>
      <c r="P9" s="16">
        <f>O9 * $S$3</f>
        <v>1.5</v>
      </c>
      <c r="Q9" s="16">
        <f>O9 * $S$4</f>
        <v>2</v>
      </c>
      <c r="S9" t="s">
        <v>328</v>
      </c>
      <c r="T9" t="s">
        <v>20</v>
      </c>
    </row>
    <row r="10" spans="1:21">
      <c r="A10" s="2">
        <v>9</v>
      </c>
      <c r="B10" s="4">
        <f t="shared" si="0"/>
        <v>13</v>
      </c>
      <c r="C10" s="4">
        <f t="shared" si="1"/>
        <v>12</v>
      </c>
      <c r="D10" s="4">
        <f t="shared" si="2"/>
        <v>2023</v>
      </c>
      <c r="E10" s="4" t="str">
        <f t="shared" si="3"/>
        <v>Wed</v>
      </c>
      <c r="F10" s="4" t="str">
        <f t="shared" si="4"/>
        <v>Dec</v>
      </c>
      <c r="G10" s="3">
        <v>45273</v>
      </c>
      <c r="H10" s="4" t="s">
        <v>329</v>
      </c>
      <c r="I10" s="4" t="s">
        <v>4</v>
      </c>
      <c r="J10" s="4" t="str" cm="1">
        <f t="array" ref="J10">_xlfn.IFS(K10&gt;=50, "Senior", K10&gt;=30, "Adult", K10&lt;30,"Young Adult")</f>
        <v>Senior</v>
      </c>
      <c r="K10" s="4">
        <v>64</v>
      </c>
      <c r="L10" s="4" t="s">
        <v>8</v>
      </c>
      <c r="M10" s="4">
        <v>2</v>
      </c>
      <c r="N10" s="22">
        <v>300</v>
      </c>
      <c r="O10" s="24">
        <f>SUM(N10)*M10</f>
        <v>600</v>
      </c>
      <c r="P10" s="16">
        <f>O10 * $S$3</f>
        <v>9</v>
      </c>
      <c r="Q10" s="16">
        <f>O10 * $S$4</f>
        <v>12</v>
      </c>
      <c r="R10" t="s">
        <v>330</v>
      </c>
      <c r="S10" s="16">
        <f>SUM(O:O)</f>
        <v>456000</v>
      </c>
      <c r="T10" t="s">
        <v>3</v>
      </c>
      <c r="U10" t="s">
        <v>4</v>
      </c>
    </row>
    <row r="11" spans="1:21">
      <c r="A11" s="2">
        <v>10</v>
      </c>
      <c r="B11" s="4">
        <f t="shared" si="0"/>
        <v>7</v>
      </c>
      <c r="C11" s="4">
        <f t="shared" si="1"/>
        <v>10</v>
      </c>
      <c r="D11" s="4">
        <f t="shared" si="2"/>
        <v>2023</v>
      </c>
      <c r="E11" s="4" t="str">
        <f t="shared" si="3"/>
        <v>Sat</v>
      </c>
      <c r="F11" s="4" t="str">
        <f t="shared" si="4"/>
        <v>Oct</v>
      </c>
      <c r="G11" s="3">
        <v>45206</v>
      </c>
      <c r="H11" s="4" t="s">
        <v>331</v>
      </c>
      <c r="I11" s="4" t="s">
        <v>3</v>
      </c>
      <c r="J11" s="4" t="str" cm="1">
        <f t="array" ref="J11">_xlfn.IFS(K11&gt;=50, "Senior", K11&gt;=30, "Adult", K11&lt;30,"Young Adult")</f>
        <v>Senior</v>
      </c>
      <c r="K11" s="4">
        <v>64</v>
      </c>
      <c r="L11" s="4" t="s">
        <v>7</v>
      </c>
      <c r="M11" s="4">
        <v>4</v>
      </c>
      <c r="N11" s="22">
        <v>50</v>
      </c>
      <c r="O11" s="24">
        <f>M11 * N11</f>
        <v>200</v>
      </c>
      <c r="P11" s="16">
        <f>O11 * $S$3</f>
        <v>3</v>
      </c>
      <c r="Q11" s="16">
        <f>O11 * $S$4</f>
        <v>4</v>
      </c>
      <c r="R11" t="str">
        <f>L2</f>
        <v>Beauty</v>
      </c>
      <c r="S11" s="16">
        <f>SUMIF(L2:L1001, "Beauty", O2:O1001)</f>
        <v>143515</v>
      </c>
      <c r="T11">
        <f>SUMIFS(M2:M1001,I2:I1001,"Female",L2:L1001,"Beauty")</f>
        <v>418</v>
      </c>
      <c r="U11">
        <f>SUMIFS(M2:M1001, I2:I1001,"Male",L2:L1001,"Beauty")</f>
        <v>353</v>
      </c>
    </row>
    <row r="12" spans="1:21">
      <c r="A12" s="2">
        <v>11</v>
      </c>
      <c r="B12" s="4">
        <f t="shared" si="0"/>
        <v>14</v>
      </c>
      <c r="C12" s="4">
        <f t="shared" si="1"/>
        <v>2</v>
      </c>
      <c r="D12" s="4">
        <f t="shared" si="2"/>
        <v>2023</v>
      </c>
      <c r="E12" s="4" t="str">
        <f t="shared" si="3"/>
        <v>Tue</v>
      </c>
      <c r="F12" s="4" t="str">
        <f t="shared" si="4"/>
        <v>Feb</v>
      </c>
      <c r="G12" s="3">
        <v>44971</v>
      </c>
      <c r="H12" s="4" t="s">
        <v>332</v>
      </c>
      <c r="I12" s="4" t="s">
        <v>4</v>
      </c>
      <c r="J12" s="4" t="str" cm="1">
        <f t="array" ref="J12">_xlfn.IFS(K12&gt;=50, "Senior", K12&gt;=30, "Adult", K12&lt;30,"Young Adult")</f>
        <v>Senior</v>
      </c>
      <c r="K12" s="4">
        <v>64</v>
      </c>
      <c r="L12" s="4" t="s">
        <v>7</v>
      </c>
      <c r="M12" s="4">
        <v>2</v>
      </c>
      <c r="N12" s="22">
        <v>50</v>
      </c>
      <c r="O12" s="24">
        <f>M12 * N12</f>
        <v>100</v>
      </c>
      <c r="P12" s="16">
        <f>O12 * $S$3</f>
        <v>1.5</v>
      </c>
      <c r="Q12" s="16">
        <f>O12 * $S$4</f>
        <v>2</v>
      </c>
      <c r="R12" t="str">
        <f>L5</f>
        <v>Clothing</v>
      </c>
      <c r="S12" s="16">
        <f>SUMIF(L2:L1001, "Clothing", O2:O1001)</f>
        <v>155580</v>
      </c>
      <c r="T12">
        <f>SUMIFS(M2:M1001,I2:I1001,"Female",L2:L1001,"Clothing")</f>
        <v>441</v>
      </c>
      <c r="U12">
        <f>SUMIFS(M2:M1001, I2:I1001,"Male",L2:L1001,"Clothing")</f>
        <v>453</v>
      </c>
    </row>
    <row r="13" spans="1:21">
      <c r="A13" s="2">
        <v>12</v>
      </c>
      <c r="B13" s="4">
        <f t="shared" si="0"/>
        <v>30</v>
      </c>
      <c r="C13" s="4">
        <f t="shared" si="1"/>
        <v>10</v>
      </c>
      <c r="D13" s="4">
        <f t="shared" si="2"/>
        <v>2023</v>
      </c>
      <c r="E13" s="4" t="str">
        <f t="shared" si="3"/>
        <v>Mon</v>
      </c>
      <c r="F13" s="4" t="str">
        <f t="shared" si="4"/>
        <v>Oct</v>
      </c>
      <c r="G13" s="3">
        <v>45229</v>
      </c>
      <c r="H13" s="4" t="s">
        <v>50</v>
      </c>
      <c r="I13" s="4" t="s">
        <v>4</v>
      </c>
      <c r="J13" s="4" t="str" cm="1">
        <f t="array" ref="J13">_xlfn.IFS(K13&gt;=50, "Senior", K13&gt;=30, "Adult", K13&lt;30,"Young Adult")</f>
        <v>Senior</v>
      </c>
      <c r="K13" s="4">
        <v>64</v>
      </c>
      <c r="L13" s="4" t="s">
        <v>6</v>
      </c>
      <c r="M13" s="4">
        <v>3</v>
      </c>
      <c r="N13" s="22">
        <v>25</v>
      </c>
      <c r="O13" s="24">
        <f>M13 * N13</f>
        <v>75</v>
      </c>
      <c r="P13" s="16">
        <f>O13 * $S$3</f>
        <v>1.125</v>
      </c>
      <c r="Q13" s="16">
        <f>O13 * $S$4</f>
        <v>1.5</v>
      </c>
      <c r="R13" t="str">
        <f>L4</f>
        <v>Electronics</v>
      </c>
      <c r="S13" s="16">
        <f>SUMIF(L2:L1001, "Electronics",O2:O1001)</f>
        <v>156905</v>
      </c>
      <c r="T13">
        <f>SUMIFS(M2:M1001,I2:I1001,"Female",L2:L1001,"Electronics")</f>
        <v>439</v>
      </c>
      <c r="U13">
        <f>SUMIFS(M2:M1001, I2:I1001,"Male",L2:L1001,"Electronics")</f>
        <v>410</v>
      </c>
    </row>
    <row r="14" spans="1:21">
      <c r="A14" s="2">
        <v>13</v>
      </c>
      <c r="B14" s="4">
        <f t="shared" si="0"/>
        <v>5</v>
      </c>
      <c r="C14" s="4">
        <f t="shared" si="1"/>
        <v>8</v>
      </c>
      <c r="D14" s="4">
        <f t="shared" si="2"/>
        <v>2023</v>
      </c>
      <c r="E14" s="4" t="str">
        <f t="shared" si="3"/>
        <v>Sat</v>
      </c>
      <c r="F14" s="4" t="str">
        <f t="shared" si="4"/>
        <v>Aug</v>
      </c>
      <c r="G14" s="3">
        <v>45143</v>
      </c>
      <c r="H14" s="4" t="s">
        <v>333</v>
      </c>
      <c r="I14" s="4" t="s">
        <v>4</v>
      </c>
      <c r="J14" s="4" t="str" cm="1">
        <f t="array" ref="J14">_xlfn.IFS(K14&gt;=50, "Senior", K14&gt;=30, "Adult", K14&lt;30,"Young Adult")</f>
        <v>Senior</v>
      </c>
      <c r="K14" s="4">
        <v>64</v>
      </c>
      <c r="L14" s="4" t="s">
        <v>8</v>
      </c>
      <c r="M14" s="4">
        <v>3</v>
      </c>
      <c r="N14" s="22">
        <v>500</v>
      </c>
      <c r="O14" s="24">
        <f>M14 * N14</f>
        <v>1500</v>
      </c>
      <c r="P14" s="16">
        <f>O14 * $S$3</f>
        <v>22.5</v>
      </c>
      <c r="Q14" s="16">
        <f>O14 * $S$4</f>
        <v>30</v>
      </c>
    </row>
    <row r="15" spans="1:21">
      <c r="A15" s="2">
        <v>14</v>
      </c>
      <c r="B15" s="4">
        <f t="shared" si="0"/>
        <v>17</v>
      </c>
      <c r="C15" s="4">
        <f t="shared" si="1"/>
        <v>1</v>
      </c>
      <c r="D15" s="4">
        <f t="shared" si="2"/>
        <v>2023</v>
      </c>
      <c r="E15" s="4" t="str">
        <f t="shared" si="3"/>
        <v>Tue</v>
      </c>
      <c r="F15" s="4" t="str">
        <f t="shared" si="4"/>
        <v>Jan</v>
      </c>
      <c r="G15" s="3">
        <v>44943</v>
      </c>
      <c r="H15" s="4" t="s">
        <v>334</v>
      </c>
      <c r="I15" s="4" t="s">
        <v>4</v>
      </c>
      <c r="J15" s="4" t="str" cm="1">
        <f t="array" ref="J15">_xlfn.IFS(K15&gt;=50, "Senior", K15&gt;=30, "Adult", K15&lt;30,"Young Adult")</f>
        <v>Senior</v>
      </c>
      <c r="K15" s="4">
        <v>64</v>
      </c>
      <c r="L15" s="4" t="s">
        <v>7</v>
      </c>
      <c r="M15" s="4">
        <v>4</v>
      </c>
      <c r="N15" s="22">
        <v>30</v>
      </c>
      <c r="O15" s="24">
        <f>M15 * N15</f>
        <v>120</v>
      </c>
      <c r="P15" s="16">
        <f>O15 * $S$3</f>
        <v>1.7999999999999998</v>
      </c>
      <c r="Q15" s="16">
        <f>O15 * $S$4</f>
        <v>2.4</v>
      </c>
    </row>
    <row r="16" spans="1:21">
      <c r="A16" s="2">
        <v>15</v>
      </c>
      <c r="B16" s="4">
        <f t="shared" si="0"/>
        <v>16</v>
      </c>
      <c r="C16" s="4">
        <f t="shared" si="1"/>
        <v>1</v>
      </c>
      <c r="D16" s="4">
        <f t="shared" si="2"/>
        <v>2023</v>
      </c>
      <c r="E16" s="4" t="str">
        <f t="shared" si="3"/>
        <v>Mon</v>
      </c>
      <c r="F16" s="4" t="str">
        <f t="shared" si="4"/>
        <v>Jan</v>
      </c>
      <c r="G16" s="3">
        <v>44942</v>
      </c>
      <c r="H16" s="4" t="s">
        <v>335</v>
      </c>
      <c r="I16" s="4" t="s">
        <v>3</v>
      </c>
      <c r="J16" s="4" t="str" cm="1">
        <f t="array" ref="J16">_xlfn.IFS(K16&gt;=50, "Senior", K16&gt;=30, "Adult", K16&lt;30,"Young Adult")</f>
        <v>Senior</v>
      </c>
      <c r="K16" s="4">
        <v>64</v>
      </c>
      <c r="L16" s="4" t="s">
        <v>8</v>
      </c>
      <c r="M16" s="4">
        <v>4</v>
      </c>
      <c r="N16" s="22">
        <v>500</v>
      </c>
      <c r="O16" s="24">
        <f>M16 * N16</f>
        <v>2000</v>
      </c>
      <c r="P16" s="16">
        <f>O16 * $S$3</f>
        <v>30</v>
      </c>
      <c r="Q16" s="16">
        <f>O16 * $S$4</f>
        <v>40</v>
      </c>
      <c r="R16" t="s">
        <v>336</v>
      </c>
    </row>
    <row r="17" spans="1:18">
      <c r="A17" s="2">
        <v>16</v>
      </c>
      <c r="B17" s="4">
        <f t="shared" si="0"/>
        <v>17</v>
      </c>
      <c r="C17" s="4">
        <f t="shared" si="1"/>
        <v>2</v>
      </c>
      <c r="D17" s="4">
        <f t="shared" si="2"/>
        <v>2023</v>
      </c>
      <c r="E17" s="4" t="str">
        <f t="shared" si="3"/>
        <v>Fri</v>
      </c>
      <c r="F17" s="4" t="str">
        <f t="shared" si="4"/>
        <v>Feb</v>
      </c>
      <c r="G17" s="3">
        <v>44974</v>
      </c>
      <c r="H17" s="4" t="s">
        <v>337</v>
      </c>
      <c r="I17" s="4" t="s">
        <v>4</v>
      </c>
      <c r="J17" s="4" t="str" cm="1">
        <f t="array" ref="J17">_xlfn.IFS(K17&gt;=50, "Senior", K17&gt;=30, "Adult", K17&lt;30,"Young Adult")</f>
        <v>Senior</v>
      </c>
      <c r="K17" s="4">
        <v>64</v>
      </c>
      <c r="L17" s="4" t="s">
        <v>7</v>
      </c>
      <c r="M17" s="4">
        <v>3</v>
      </c>
      <c r="N17" s="22">
        <v>500</v>
      </c>
      <c r="O17" s="24">
        <f>M17 * N17</f>
        <v>1500</v>
      </c>
      <c r="P17" s="16">
        <f>O17 * $S$3</f>
        <v>22.5</v>
      </c>
      <c r="Q17" s="16">
        <f>O17 * $S$4</f>
        <v>30</v>
      </c>
      <c r="R17" s="16">
        <f>AVERAGE(P2:P16)</f>
        <v>6.5550000000000006</v>
      </c>
    </row>
    <row r="18" spans="1:18">
      <c r="A18" s="2">
        <v>17</v>
      </c>
      <c r="B18" s="4">
        <f t="shared" si="0"/>
        <v>22</v>
      </c>
      <c r="C18" s="4">
        <f t="shared" si="1"/>
        <v>4</v>
      </c>
      <c r="D18" s="4">
        <f t="shared" si="2"/>
        <v>2023</v>
      </c>
      <c r="E18" s="4" t="str">
        <f t="shared" si="3"/>
        <v>Sat</v>
      </c>
      <c r="F18" s="4" t="str">
        <f t="shared" si="4"/>
        <v>Apr</v>
      </c>
      <c r="G18" s="3">
        <v>45038</v>
      </c>
      <c r="H18" s="4" t="s">
        <v>338</v>
      </c>
      <c r="I18" s="4" t="s">
        <v>3</v>
      </c>
      <c r="J18" s="4" t="str" cm="1">
        <f t="array" ref="J18">_xlfn.IFS(K18&gt;=50, "Senior", K18&gt;=30, "Adult", K18&lt;30,"Young Adult")</f>
        <v>Senior</v>
      </c>
      <c r="K18" s="4">
        <v>64</v>
      </c>
      <c r="L18" s="4" t="s">
        <v>7</v>
      </c>
      <c r="M18" s="4">
        <v>4</v>
      </c>
      <c r="N18" s="22">
        <v>25</v>
      </c>
      <c r="O18" s="24">
        <f>M18 * N18</f>
        <v>100</v>
      </c>
      <c r="P18" s="16">
        <f>O18 * $S$3</f>
        <v>1.5</v>
      </c>
      <c r="Q18" s="16">
        <f>O18 * $S$4</f>
        <v>2</v>
      </c>
    </row>
    <row r="19" spans="1:18">
      <c r="A19" s="2">
        <v>18</v>
      </c>
      <c r="B19" s="4">
        <f t="shared" si="0"/>
        <v>30</v>
      </c>
      <c r="C19" s="4">
        <f t="shared" si="1"/>
        <v>4</v>
      </c>
      <c r="D19" s="4">
        <f t="shared" si="2"/>
        <v>2023</v>
      </c>
      <c r="E19" s="4" t="str">
        <f t="shared" si="3"/>
        <v>Sun</v>
      </c>
      <c r="F19" s="4" t="str">
        <f t="shared" si="4"/>
        <v>Apr</v>
      </c>
      <c r="G19" s="3">
        <v>45046</v>
      </c>
      <c r="H19" s="4" t="s">
        <v>339</v>
      </c>
      <c r="I19" s="4" t="s">
        <v>3</v>
      </c>
      <c r="J19" s="4" t="str" cm="1">
        <f t="array" ref="J19">_xlfn.IFS(K19&gt;=50, "Senior", K19&gt;=30, "Adult", K19&lt;30,"Young Adult")</f>
        <v>Senior</v>
      </c>
      <c r="K19" s="4">
        <v>64</v>
      </c>
      <c r="L19" s="4" t="s">
        <v>8</v>
      </c>
      <c r="M19" s="4">
        <v>2</v>
      </c>
      <c r="N19" s="22">
        <v>25</v>
      </c>
      <c r="O19" s="24">
        <f>M19 * N19</f>
        <v>50</v>
      </c>
      <c r="P19" s="16">
        <f>O19 * $S$3</f>
        <v>0.75</v>
      </c>
      <c r="Q19" s="16">
        <f>O19 * $S$4</f>
        <v>1</v>
      </c>
    </row>
    <row r="20" spans="1:18">
      <c r="A20" s="2">
        <v>19</v>
      </c>
      <c r="B20" s="4">
        <f t="shared" si="0"/>
        <v>16</v>
      </c>
      <c r="C20" s="4">
        <f t="shared" si="1"/>
        <v>9</v>
      </c>
      <c r="D20" s="4">
        <f t="shared" si="2"/>
        <v>2023</v>
      </c>
      <c r="E20" s="4" t="str">
        <f t="shared" si="3"/>
        <v>Sat</v>
      </c>
      <c r="F20" s="4" t="str">
        <f t="shared" si="4"/>
        <v>Sep</v>
      </c>
      <c r="G20" s="3">
        <v>45185</v>
      </c>
      <c r="H20" s="4" t="s">
        <v>340</v>
      </c>
      <c r="I20" s="4" t="s">
        <v>3</v>
      </c>
      <c r="J20" s="4" t="str" cm="1">
        <f t="array" ref="J20">_xlfn.IFS(K20&gt;=50, "Senior", K20&gt;=30, "Adult", K20&lt;30,"Young Adult")</f>
        <v>Senior</v>
      </c>
      <c r="K20" s="4">
        <v>64</v>
      </c>
      <c r="L20" s="4" t="s">
        <v>7</v>
      </c>
      <c r="M20" s="4">
        <v>2</v>
      </c>
      <c r="N20" s="22">
        <v>25</v>
      </c>
      <c r="O20" s="24">
        <f>M20 * N20</f>
        <v>50</v>
      </c>
      <c r="P20" s="16">
        <f>O20 * $S$3</f>
        <v>0.75</v>
      </c>
      <c r="Q20" s="16">
        <f>O20 * $S$4</f>
        <v>1</v>
      </c>
    </row>
    <row r="21" spans="1:18">
      <c r="A21" s="2">
        <v>20</v>
      </c>
      <c r="B21" s="4">
        <f t="shared" si="0"/>
        <v>5</v>
      </c>
      <c r="C21" s="4">
        <f t="shared" si="1"/>
        <v>11</v>
      </c>
      <c r="D21" s="4">
        <f t="shared" si="2"/>
        <v>2023</v>
      </c>
      <c r="E21" s="4" t="str">
        <f t="shared" si="3"/>
        <v>Sun</v>
      </c>
      <c r="F21" s="4" t="str">
        <f t="shared" si="4"/>
        <v>Nov</v>
      </c>
      <c r="G21" s="3">
        <v>45235</v>
      </c>
      <c r="H21" s="4" t="s">
        <v>341</v>
      </c>
      <c r="I21" s="4" t="s">
        <v>4</v>
      </c>
      <c r="J21" s="4" t="str" cm="1">
        <f t="array" ref="J21">_xlfn.IFS(K21&gt;=50, "Senior", K21&gt;=30, "Adult", K21&lt;30,"Young Adult")</f>
        <v>Senior</v>
      </c>
      <c r="K21" s="4">
        <v>64</v>
      </c>
      <c r="L21" s="4" t="s">
        <v>7</v>
      </c>
      <c r="M21" s="4">
        <v>3</v>
      </c>
      <c r="N21" s="22">
        <v>300</v>
      </c>
      <c r="O21" s="24">
        <f>M21 * N21</f>
        <v>900</v>
      </c>
      <c r="P21" s="16">
        <f>O21 * $S$3</f>
        <v>13.5</v>
      </c>
      <c r="Q21" s="16">
        <f>O21 * $S$4</f>
        <v>18</v>
      </c>
    </row>
    <row r="22" spans="1:18">
      <c r="A22" s="2">
        <v>21</v>
      </c>
      <c r="B22" s="4">
        <f t="shared" si="0"/>
        <v>14</v>
      </c>
      <c r="C22" s="4">
        <f t="shared" si="1"/>
        <v>1</v>
      </c>
      <c r="D22" s="4">
        <f t="shared" si="2"/>
        <v>2023</v>
      </c>
      <c r="E22" s="4" t="str">
        <f t="shared" si="3"/>
        <v>Sat</v>
      </c>
      <c r="F22" s="4" t="str">
        <f t="shared" si="4"/>
        <v>Jan</v>
      </c>
      <c r="G22" s="3">
        <v>44940</v>
      </c>
      <c r="H22" s="4" t="s">
        <v>342</v>
      </c>
      <c r="I22" s="4" t="s">
        <v>3</v>
      </c>
      <c r="J22" s="4" t="str" cm="1">
        <f t="array" ref="J22">_xlfn.IFS(K22&gt;=50, "Senior", K22&gt;=30, "Adult", K22&lt;30,"Young Adult")</f>
        <v>Senior</v>
      </c>
      <c r="K22" s="4">
        <v>64</v>
      </c>
      <c r="L22" s="4" t="s">
        <v>6</v>
      </c>
      <c r="M22" s="4">
        <v>1</v>
      </c>
      <c r="N22" s="22">
        <v>500</v>
      </c>
      <c r="O22" s="24">
        <f>M22 * N22</f>
        <v>500</v>
      </c>
      <c r="P22" s="16">
        <f>O22 * $S$3</f>
        <v>7.5</v>
      </c>
      <c r="Q22" s="16">
        <f>O22 * $S$4</f>
        <v>10</v>
      </c>
    </row>
    <row r="23" spans="1:18">
      <c r="A23" s="2">
        <v>22</v>
      </c>
      <c r="B23" s="4">
        <f t="shared" si="0"/>
        <v>15</v>
      </c>
      <c r="C23" s="4">
        <f t="shared" si="1"/>
        <v>10</v>
      </c>
      <c r="D23" s="4">
        <f t="shared" si="2"/>
        <v>2023</v>
      </c>
      <c r="E23" s="4" t="str">
        <f t="shared" si="3"/>
        <v>Sun</v>
      </c>
      <c r="F23" s="4" t="str">
        <f t="shared" si="4"/>
        <v>Oct</v>
      </c>
      <c r="G23" s="3">
        <v>45214</v>
      </c>
      <c r="H23" s="4" t="s">
        <v>343</v>
      </c>
      <c r="I23" s="4" t="s">
        <v>4</v>
      </c>
      <c r="J23" s="4" t="str" cm="1">
        <f t="array" ref="J23">_xlfn.IFS(K23&gt;=50, "Senior", K23&gt;=30, "Adult", K23&lt;30,"Young Adult")</f>
        <v>Senior</v>
      </c>
      <c r="K23" s="4">
        <v>64</v>
      </c>
      <c r="L23" s="4" t="s">
        <v>7</v>
      </c>
      <c r="M23" s="4">
        <v>2</v>
      </c>
      <c r="N23" s="22">
        <v>50</v>
      </c>
      <c r="O23" s="24">
        <f>M23 * N23</f>
        <v>100</v>
      </c>
      <c r="P23" s="16">
        <f>O23 * $S$3</f>
        <v>1.5</v>
      </c>
      <c r="Q23" s="16">
        <f>O23 * $S$4</f>
        <v>2</v>
      </c>
    </row>
    <row r="24" spans="1:18">
      <c r="A24" s="2">
        <v>23</v>
      </c>
      <c r="B24" s="4">
        <f t="shared" si="0"/>
        <v>12</v>
      </c>
      <c r="C24" s="4">
        <f t="shared" si="1"/>
        <v>4</v>
      </c>
      <c r="D24" s="4">
        <f t="shared" si="2"/>
        <v>2023</v>
      </c>
      <c r="E24" s="4" t="str">
        <f t="shared" si="3"/>
        <v>Wed</v>
      </c>
      <c r="F24" s="4" t="str">
        <f t="shared" si="4"/>
        <v>Apr</v>
      </c>
      <c r="G24" s="3">
        <v>45028</v>
      </c>
      <c r="H24" s="4" t="s">
        <v>197</v>
      </c>
      <c r="I24" s="4" t="s">
        <v>3</v>
      </c>
      <c r="J24" s="4" t="str" cm="1">
        <f t="array" ref="J24">_xlfn.IFS(K24&gt;=50, "Senior", K24&gt;=30, "Adult", K24&lt;30,"Young Adult")</f>
        <v>Senior</v>
      </c>
      <c r="K24" s="4">
        <v>64</v>
      </c>
      <c r="L24" s="4" t="s">
        <v>7</v>
      </c>
      <c r="M24" s="4">
        <v>4</v>
      </c>
      <c r="N24" s="22">
        <v>30</v>
      </c>
      <c r="O24" s="24">
        <f>M24 * N24</f>
        <v>120</v>
      </c>
      <c r="P24" s="16">
        <f>O24 * $S$3</f>
        <v>1.7999999999999998</v>
      </c>
      <c r="Q24" s="16">
        <f>O24 * $S$4</f>
        <v>2.4</v>
      </c>
    </row>
    <row r="25" spans="1:18">
      <c r="A25" s="2">
        <v>24</v>
      </c>
      <c r="B25" s="4">
        <f t="shared" si="0"/>
        <v>29</v>
      </c>
      <c r="C25" s="4">
        <f t="shared" si="1"/>
        <v>11</v>
      </c>
      <c r="D25" s="4">
        <f t="shared" si="2"/>
        <v>2023</v>
      </c>
      <c r="E25" s="4" t="str">
        <f t="shared" si="3"/>
        <v>Wed</v>
      </c>
      <c r="F25" s="4" t="str">
        <f t="shared" si="4"/>
        <v>Nov</v>
      </c>
      <c r="G25" s="3">
        <v>45259</v>
      </c>
      <c r="H25" s="4" t="s">
        <v>198</v>
      </c>
      <c r="I25" s="4" t="s">
        <v>3</v>
      </c>
      <c r="J25" s="4" t="str" cm="1">
        <f t="array" ref="J25">_xlfn.IFS(K25&gt;=50, "Senior", K25&gt;=30, "Adult", K25&lt;30,"Young Adult")</f>
        <v>Senior</v>
      </c>
      <c r="K25" s="4">
        <v>64</v>
      </c>
      <c r="L25" s="4" t="s">
        <v>7</v>
      </c>
      <c r="M25" s="4">
        <v>1</v>
      </c>
      <c r="N25" s="22">
        <v>300</v>
      </c>
      <c r="O25" s="24">
        <f>M25 * N25</f>
        <v>300</v>
      </c>
      <c r="P25" s="16">
        <f>O25 * $S$3</f>
        <v>4.5</v>
      </c>
      <c r="Q25" s="16">
        <f>O25 * $S$4</f>
        <v>6</v>
      </c>
    </row>
    <row r="26" spans="1:18">
      <c r="A26" s="2">
        <v>25</v>
      </c>
      <c r="B26" s="4">
        <f t="shared" si="0"/>
        <v>26</v>
      </c>
      <c r="C26" s="4">
        <f t="shared" si="1"/>
        <v>12</v>
      </c>
      <c r="D26" s="4">
        <f t="shared" si="2"/>
        <v>2023</v>
      </c>
      <c r="E26" s="4" t="str">
        <f t="shared" si="3"/>
        <v>Tue</v>
      </c>
      <c r="F26" s="4" t="str">
        <f t="shared" si="4"/>
        <v>Dec</v>
      </c>
      <c r="G26" s="3">
        <v>45286</v>
      </c>
      <c r="H26" s="4" t="s">
        <v>344</v>
      </c>
      <c r="I26" s="4" t="s">
        <v>3</v>
      </c>
      <c r="J26" s="4" t="str" cm="1">
        <f t="array" ref="J26">_xlfn.IFS(K26&gt;=50, "Senior", K26&gt;=30, "Adult", K26&lt;30,"Young Adult")</f>
        <v>Senior</v>
      </c>
      <c r="K26" s="4">
        <v>64</v>
      </c>
      <c r="L26" s="4" t="s">
        <v>6</v>
      </c>
      <c r="M26" s="4">
        <v>1</v>
      </c>
      <c r="N26" s="22">
        <v>50</v>
      </c>
      <c r="O26" s="24">
        <f>M26 * N26</f>
        <v>50</v>
      </c>
      <c r="P26" s="16">
        <f>O26 * $S$3</f>
        <v>0.75</v>
      </c>
      <c r="Q26" s="16">
        <f>O26 * $S$4</f>
        <v>1</v>
      </c>
    </row>
    <row r="27" spans="1:18">
      <c r="A27" s="2">
        <v>26</v>
      </c>
      <c r="B27" s="4">
        <f t="shared" si="0"/>
        <v>7</v>
      </c>
      <c r="C27" s="4">
        <f t="shared" si="1"/>
        <v>10</v>
      </c>
      <c r="D27" s="4">
        <f t="shared" si="2"/>
        <v>2023</v>
      </c>
      <c r="E27" s="4" t="str">
        <f t="shared" si="3"/>
        <v>Sat</v>
      </c>
      <c r="F27" s="4" t="str">
        <f t="shared" si="4"/>
        <v>Oct</v>
      </c>
      <c r="G27" s="3">
        <v>45206</v>
      </c>
      <c r="H27" s="4" t="s">
        <v>345</v>
      </c>
      <c r="I27" s="4" t="s">
        <v>3</v>
      </c>
      <c r="J27" s="4" t="str" cm="1">
        <f t="array" ref="J27">_xlfn.IFS(K27&gt;=50, "Senior", K27&gt;=30, "Adult", K27&lt;30,"Young Adult")</f>
        <v>Senior</v>
      </c>
      <c r="K27" s="4">
        <v>64</v>
      </c>
      <c r="L27" s="4" t="s">
        <v>8</v>
      </c>
      <c r="M27" s="4">
        <v>2</v>
      </c>
      <c r="N27" s="22">
        <v>500</v>
      </c>
      <c r="O27" s="24">
        <f>M27 * N27</f>
        <v>1000</v>
      </c>
      <c r="P27" s="16">
        <f>O27 * $S$3</f>
        <v>15</v>
      </c>
      <c r="Q27" s="16">
        <f>O27 * $S$4</f>
        <v>20</v>
      </c>
    </row>
    <row r="28" spans="1:18">
      <c r="A28" s="2">
        <v>27</v>
      </c>
      <c r="B28" s="4">
        <f t="shared" si="0"/>
        <v>3</v>
      </c>
      <c r="C28" s="4">
        <f t="shared" si="1"/>
        <v>8</v>
      </c>
      <c r="D28" s="4">
        <f t="shared" si="2"/>
        <v>2023</v>
      </c>
      <c r="E28" s="4" t="str">
        <f t="shared" si="3"/>
        <v>Thu</v>
      </c>
      <c r="F28" s="4" t="str">
        <f t="shared" si="4"/>
        <v>Aug</v>
      </c>
      <c r="G28" s="3">
        <v>45141</v>
      </c>
      <c r="H28" s="4" t="s">
        <v>68</v>
      </c>
      <c r="I28" s="4" t="s">
        <v>3</v>
      </c>
      <c r="J28" s="4" t="str" cm="1">
        <f t="array" ref="J28">_xlfn.IFS(K28&gt;=50, "Senior", K28&gt;=30, "Adult", K28&lt;30,"Young Adult")</f>
        <v>Senior</v>
      </c>
      <c r="K28" s="4">
        <v>64</v>
      </c>
      <c r="L28" s="4" t="s">
        <v>6</v>
      </c>
      <c r="M28" s="4">
        <v>2</v>
      </c>
      <c r="N28" s="22">
        <v>25</v>
      </c>
      <c r="O28" s="24">
        <f>M28 * N28</f>
        <v>50</v>
      </c>
      <c r="P28" s="16">
        <f>O28 * $S$3</f>
        <v>0.75</v>
      </c>
      <c r="Q28" s="16">
        <f>O28 * $S$4</f>
        <v>1</v>
      </c>
    </row>
    <row r="29" spans="1:18">
      <c r="A29" s="2">
        <v>28</v>
      </c>
      <c r="B29" s="4">
        <f t="shared" si="0"/>
        <v>23</v>
      </c>
      <c r="C29" s="4">
        <f t="shared" si="1"/>
        <v>4</v>
      </c>
      <c r="D29" s="4">
        <f t="shared" si="2"/>
        <v>2023</v>
      </c>
      <c r="E29" s="4" t="str">
        <f t="shared" si="3"/>
        <v>Sun</v>
      </c>
      <c r="F29" s="4" t="str">
        <f t="shared" si="4"/>
        <v>Apr</v>
      </c>
      <c r="G29" s="3">
        <v>45039</v>
      </c>
      <c r="H29" s="4" t="s">
        <v>70</v>
      </c>
      <c r="I29" s="4" t="s">
        <v>3</v>
      </c>
      <c r="J29" s="4" t="str" cm="1">
        <f t="array" ref="J29">_xlfn.IFS(K29&gt;=50, "Senior", K29&gt;=30, "Adult", K29&lt;30,"Young Adult")</f>
        <v>Senior</v>
      </c>
      <c r="K29" s="4">
        <v>64</v>
      </c>
      <c r="L29" s="4" t="s">
        <v>6</v>
      </c>
      <c r="M29" s="4">
        <v>1</v>
      </c>
      <c r="N29" s="22">
        <v>500</v>
      </c>
      <c r="O29" s="24">
        <f>M29 * N29</f>
        <v>500</v>
      </c>
      <c r="P29" s="16">
        <f>O29 * $S$3</f>
        <v>7.5</v>
      </c>
      <c r="Q29" s="16">
        <f>O29 * $S$4</f>
        <v>10</v>
      </c>
    </row>
    <row r="30" spans="1:18">
      <c r="A30" s="2">
        <v>29</v>
      </c>
      <c r="B30" s="4">
        <f t="shared" si="0"/>
        <v>18</v>
      </c>
      <c r="C30" s="4">
        <f t="shared" si="1"/>
        <v>8</v>
      </c>
      <c r="D30" s="4">
        <f t="shared" si="2"/>
        <v>2023</v>
      </c>
      <c r="E30" s="4" t="str">
        <f t="shared" si="3"/>
        <v>Fri</v>
      </c>
      <c r="F30" s="4" t="str">
        <f t="shared" si="4"/>
        <v>Aug</v>
      </c>
      <c r="G30" s="3">
        <v>45156</v>
      </c>
      <c r="H30" s="4" t="s">
        <v>346</v>
      </c>
      <c r="I30" s="4" t="s">
        <v>3</v>
      </c>
      <c r="J30" s="4" t="str" cm="1">
        <f t="array" ref="J30">_xlfn.IFS(K30&gt;=50, "Senior", K30&gt;=30, "Adult", K30&lt;30,"Young Adult")</f>
        <v>Senior</v>
      </c>
      <c r="K30" s="4">
        <v>64</v>
      </c>
      <c r="L30" s="4" t="s">
        <v>8</v>
      </c>
      <c r="M30" s="4">
        <v>1</v>
      </c>
      <c r="N30" s="22">
        <v>30</v>
      </c>
      <c r="O30" s="24">
        <f>M30 * N30</f>
        <v>30</v>
      </c>
      <c r="P30" s="16">
        <f>O30 * $S$3</f>
        <v>0.44999999999999996</v>
      </c>
      <c r="Q30" s="16">
        <f>O30 * $S$4</f>
        <v>0.6</v>
      </c>
    </row>
    <row r="31" spans="1:18">
      <c r="A31" s="2">
        <v>30</v>
      </c>
      <c r="B31" s="4">
        <f t="shared" si="0"/>
        <v>29</v>
      </c>
      <c r="C31" s="4">
        <f t="shared" si="1"/>
        <v>10</v>
      </c>
      <c r="D31" s="4">
        <f t="shared" si="2"/>
        <v>2023</v>
      </c>
      <c r="E31" s="4" t="str">
        <f t="shared" si="3"/>
        <v>Sun</v>
      </c>
      <c r="F31" s="4" t="str">
        <f t="shared" si="4"/>
        <v>Oct</v>
      </c>
      <c r="G31" s="3">
        <v>45228</v>
      </c>
      <c r="H31" s="4" t="s">
        <v>73</v>
      </c>
      <c r="I31" s="4" t="s">
        <v>3</v>
      </c>
      <c r="J31" s="4" t="str" cm="1">
        <f t="array" ref="J31">_xlfn.IFS(K31&gt;=50, "Senior", K31&gt;=30, "Adult", K31&lt;30,"Young Adult")</f>
        <v>Senior</v>
      </c>
      <c r="K31" s="4">
        <v>64</v>
      </c>
      <c r="L31" s="4" t="s">
        <v>6</v>
      </c>
      <c r="M31" s="4">
        <v>3</v>
      </c>
      <c r="N31" s="22">
        <v>300</v>
      </c>
      <c r="O31" s="24">
        <f>M31 * N31</f>
        <v>900</v>
      </c>
      <c r="P31" s="16">
        <f>O31 * $S$3</f>
        <v>13.5</v>
      </c>
      <c r="Q31" s="16">
        <f>O31 * $S$4</f>
        <v>18</v>
      </c>
    </row>
    <row r="32" spans="1:18">
      <c r="A32" s="2">
        <v>31</v>
      </c>
      <c r="B32" s="4">
        <f t="shared" si="0"/>
        <v>23</v>
      </c>
      <c r="C32" s="4">
        <f t="shared" si="1"/>
        <v>5</v>
      </c>
      <c r="D32" s="4">
        <f t="shared" si="2"/>
        <v>2023</v>
      </c>
      <c r="E32" s="4" t="str">
        <f t="shared" si="3"/>
        <v>Tue</v>
      </c>
      <c r="F32" s="4" t="str">
        <f t="shared" si="4"/>
        <v>May</v>
      </c>
      <c r="G32" s="3">
        <v>45069</v>
      </c>
      <c r="H32" s="4" t="s">
        <v>347</v>
      </c>
      <c r="I32" s="4" t="s">
        <v>4</v>
      </c>
      <c r="J32" s="4" t="str" cm="1">
        <f t="array" ref="J32">_xlfn.IFS(K32&gt;=50, "Senior", K32&gt;=30, "Adult", K32&lt;30,"Young Adult")</f>
        <v>Senior</v>
      </c>
      <c r="K32" s="4">
        <v>64</v>
      </c>
      <c r="L32" s="4" t="s">
        <v>8</v>
      </c>
      <c r="M32" s="4">
        <v>4</v>
      </c>
      <c r="N32" s="22">
        <v>300</v>
      </c>
      <c r="O32" s="24">
        <f>M32 * N32</f>
        <v>1200</v>
      </c>
      <c r="P32" s="16">
        <f>O32 * $S$3</f>
        <v>18</v>
      </c>
      <c r="Q32" s="16">
        <f>O32 * $S$4</f>
        <v>24</v>
      </c>
    </row>
    <row r="33" spans="1:17">
      <c r="A33" s="2">
        <v>32</v>
      </c>
      <c r="B33" s="4">
        <f t="shared" si="0"/>
        <v>4</v>
      </c>
      <c r="C33" s="4">
        <f t="shared" si="1"/>
        <v>1</v>
      </c>
      <c r="D33" s="4">
        <f t="shared" si="2"/>
        <v>2023</v>
      </c>
      <c r="E33" s="4" t="str">
        <f t="shared" si="3"/>
        <v>Wed</v>
      </c>
      <c r="F33" s="4" t="str">
        <f t="shared" si="4"/>
        <v>Jan</v>
      </c>
      <c r="G33" s="3">
        <v>44930</v>
      </c>
      <c r="H33" s="4" t="s">
        <v>76</v>
      </c>
      <c r="I33" s="4" t="s">
        <v>4</v>
      </c>
      <c r="J33" s="4" t="str" cm="1">
        <f t="array" ref="J33">_xlfn.IFS(K33&gt;=50, "Senior", K33&gt;=30, "Adult", K33&lt;30,"Young Adult")</f>
        <v>Senior</v>
      </c>
      <c r="K33" s="4">
        <v>63</v>
      </c>
      <c r="L33" s="4" t="s">
        <v>6</v>
      </c>
      <c r="M33" s="4">
        <v>3</v>
      </c>
      <c r="N33" s="22">
        <v>30</v>
      </c>
      <c r="O33" s="24">
        <f>M33 * N33</f>
        <v>90</v>
      </c>
      <c r="P33" s="16">
        <f>O33 * $S$3</f>
        <v>1.3499999999999999</v>
      </c>
      <c r="Q33" s="16">
        <f>O33 * $S$4</f>
        <v>1.8</v>
      </c>
    </row>
    <row r="34" spans="1:17">
      <c r="A34" s="2">
        <v>33</v>
      </c>
      <c r="B34" s="4">
        <f t="shared" si="0"/>
        <v>23</v>
      </c>
      <c r="C34" s="4">
        <f t="shared" si="1"/>
        <v>3</v>
      </c>
      <c r="D34" s="4">
        <f t="shared" si="2"/>
        <v>2023</v>
      </c>
      <c r="E34" s="4" t="str">
        <f t="shared" si="3"/>
        <v>Thu</v>
      </c>
      <c r="F34" s="4" t="str">
        <f t="shared" si="4"/>
        <v>Mar</v>
      </c>
      <c r="G34" s="3">
        <v>45008</v>
      </c>
      <c r="H34" s="4" t="s">
        <v>348</v>
      </c>
      <c r="I34" s="4" t="s">
        <v>3</v>
      </c>
      <c r="J34" s="4" t="str" cm="1">
        <f t="array" ref="J34">_xlfn.IFS(K34&gt;=50, "Senior", K34&gt;=30, "Adult", K34&lt;30,"Young Adult")</f>
        <v>Senior</v>
      </c>
      <c r="K34" s="4">
        <v>63</v>
      </c>
      <c r="L34" s="4" t="s">
        <v>8</v>
      </c>
      <c r="M34" s="4">
        <v>2</v>
      </c>
      <c r="N34" s="22">
        <v>50</v>
      </c>
      <c r="O34" s="24">
        <f>M34 * N34</f>
        <v>100</v>
      </c>
      <c r="P34" s="16">
        <f>O34 * $S$3</f>
        <v>1.5</v>
      </c>
      <c r="Q34" s="16">
        <f>O34 * $S$4</f>
        <v>2</v>
      </c>
    </row>
    <row r="35" spans="1:17">
      <c r="A35" s="2">
        <v>34</v>
      </c>
      <c r="B35" s="4">
        <f t="shared" si="0"/>
        <v>24</v>
      </c>
      <c r="C35" s="4">
        <f t="shared" si="1"/>
        <v>12</v>
      </c>
      <c r="D35" s="4">
        <f t="shared" si="2"/>
        <v>2023</v>
      </c>
      <c r="E35" s="4" t="str">
        <f t="shared" si="3"/>
        <v>Sun</v>
      </c>
      <c r="F35" s="4" t="str">
        <f t="shared" si="4"/>
        <v>Dec</v>
      </c>
      <c r="G35" s="3">
        <v>45284</v>
      </c>
      <c r="H35" s="4" t="s">
        <v>349</v>
      </c>
      <c r="I35" s="4" t="s">
        <v>3</v>
      </c>
      <c r="J35" s="4" t="str" cm="1">
        <f t="array" ref="J35">_xlfn.IFS(K35&gt;=50, "Senior", K35&gt;=30, "Adult", K35&lt;30,"Young Adult")</f>
        <v>Senior</v>
      </c>
      <c r="K35" s="4">
        <v>63</v>
      </c>
      <c r="L35" s="4" t="s">
        <v>7</v>
      </c>
      <c r="M35" s="4">
        <v>3</v>
      </c>
      <c r="N35" s="22">
        <v>50</v>
      </c>
      <c r="O35" s="24">
        <f>M35 * N35</f>
        <v>150</v>
      </c>
      <c r="P35" s="16">
        <f>O35 * $S$3</f>
        <v>2.25</v>
      </c>
      <c r="Q35" s="16">
        <f>O35 * $S$4</f>
        <v>3</v>
      </c>
    </row>
    <row r="36" spans="1:17">
      <c r="A36" s="2">
        <v>35</v>
      </c>
      <c r="B36" s="4">
        <f t="shared" si="0"/>
        <v>5</v>
      </c>
      <c r="C36" s="4">
        <f t="shared" si="1"/>
        <v>8</v>
      </c>
      <c r="D36" s="4">
        <f t="shared" si="2"/>
        <v>2023</v>
      </c>
      <c r="E36" s="4" t="str">
        <f t="shared" si="3"/>
        <v>Sat</v>
      </c>
      <c r="F36" s="4" t="str">
        <f t="shared" si="4"/>
        <v>Aug</v>
      </c>
      <c r="G36" s="3">
        <v>45143</v>
      </c>
      <c r="H36" s="4" t="s">
        <v>350</v>
      </c>
      <c r="I36" s="4" t="s">
        <v>3</v>
      </c>
      <c r="J36" s="4" t="str" cm="1">
        <f t="array" ref="J36">_xlfn.IFS(K36&gt;=50, "Senior", K36&gt;=30, "Adult", K36&lt;30,"Young Adult")</f>
        <v>Senior</v>
      </c>
      <c r="K36" s="4">
        <v>63</v>
      </c>
      <c r="L36" s="4" t="s">
        <v>6</v>
      </c>
      <c r="M36" s="4">
        <v>3</v>
      </c>
      <c r="N36" s="22">
        <v>300</v>
      </c>
      <c r="O36" s="24">
        <f>M36 * N36</f>
        <v>900</v>
      </c>
      <c r="P36" s="16">
        <f>O36 * $S$3</f>
        <v>13.5</v>
      </c>
      <c r="Q36" s="16">
        <f>O36 * $S$4</f>
        <v>18</v>
      </c>
    </row>
    <row r="37" spans="1:17">
      <c r="A37" s="2">
        <v>36</v>
      </c>
      <c r="B37" s="4">
        <f t="shared" si="0"/>
        <v>24</v>
      </c>
      <c r="C37" s="4">
        <f t="shared" si="1"/>
        <v>6</v>
      </c>
      <c r="D37" s="4">
        <f t="shared" si="2"/>
        <v>2023</v>
      </c>
      <c r="E37" s="4" t="str">
        <f t="shared" si="3"/>
        <v>Sat</v>
      </c>
      <c r="F37" s="4" t="str">
        <f t="shared" si="4"/>
        <v>Jun</v>
      </c>
      <c r="G37" s="3">
        <v>45101</v>
      </c>
      <c r="H37" s="4" t="s">
        <v>351</v>
      </c>
      <c r="I37" s="4" t="s">
        <v>4</v>
      </c>
      <c r="J37" s="4" t="str" cm="1">
        <f t="array" ref="J37">_xlfn.IFS(K37&gt;=50, "Senior", K37&gt;=30, "Adult", K37&lt;30,"Young Adult")</f>
        <v>Senior</v>
      </c>
      <c r="K37" s="4">
        <v>63</v>
      </c>
      <c r="L37" s="4" t="s">
        <v>6</v>
      </c>
      <c r="M37" s="4">
        <v>3</v>
      </c>
      <c r="N37" s="22">
        <v>300</v>
      </c>
      <c r="O37" s="24">
        <f>M37 * N37</f>
        <v>900</v>
      </c>
      <c r="P37" s="16">
        <f>O37 * $S$3</f>
        <v>13.5</v>
      </c>
      <c r="Q37" s="16">
        <f>O37 * $S$4</f>
        <v>18</v>
      </c>
    </row>
    <row r="38" spans="1:17">
      <c r="A38" s="2">
        <v>37</v>
      </c>
      <c r="B38" s="4">
        <f t="shared" si="0"/>
        <v>23</v>
      </c>
      <c r="C38" s="4">
        <f t="shared" si="1"/>
        <v>5</v>
      </c>
      <c r="D38" s="4">
        <f t="shared" si="2"/>
        <v>2023</v>
      </c>
      <c r="E38" s="4" t="str">
        <f t="shared" si="3"/>
        <v>Tue</v>
      </c>
      <c r="F38" s="4" t="str">
        <f t="shared" si="4"/>
        <v>May</v>
      </c>
      <c r="G38" s="3">
        <v>45069</v>
      </c>
      <c r="H38" s="4" t="s">
        <v>352</v>
      </c>
      <c r="I38" s="4" t="s">
        <v>3</v>
      </c>
      <c r="J38" s="4" t="str" cm="1">
        <f t="array" ref="J38">_xlfn.IFS(K38&gt;=50, "Senior", K38&gt;=30, "Adult", K38&lt;30,"Young Adult")</f>
        <v>Senior</v>
      </c>
      <c r="K38" s="4">
        <v>63</v>
      </c>
      <c r="L38" s="4" t="s">
        <v>6</v>
      </c>
      <c r="M38" s="4">
        <v>3</v>
      </c>
      <c r="N38" s="22">
        <v>25</v>
      </c>
      <c r="O38" s="24">
        <f>M38 * N38</f>
        <v>75</v>
      </c>
      <c r="P38" s="16">
        <f>O38 * $S$3</f>
        <v>1.125</v>
      </c>
      <c r="Q38" s="16">
        <f>O38 * $S$4</f>
        <v>1.5</v>
      </c>
    </row>
    <row r="39" spans="1:17">
      <c r="A39" s="2">
        <v>38</v>
      </c>
      <c r="B39" s="4">
        <f t="shared" si="0"/>
        <v>21</v>
      </c>
      <c r="C39" s="4">
        <f t="shared" si="1"/>
        <v>3</v>
      </c>
      <c r="D39" s="4">
        <f t="shared" si="2"/>
        <v>2023</v>
      </c>
      <c r="E39" s="4" t="str">
        <f t="shared" si="3"/>
        <v>Tue</v>
      </c>
      <c r="F39" s="4" t="str">
        <f t="shared" si="4"/>
        <v>Mar</v>
      </c>
      <c r="G39" s="3">
        <v>45006</v>
      </c>
      <c r="H39" s="4" t="s">
        <v>82</v>
      </c>
      <c r="I39" s="4" t="s">
        <v>4</v>
      </c>
      <c r="J39" s="4" t="str" cm="1">
        <f t="array" ref="J39">_xlfn.IFS(K39&gt;=50, "Senior", K39&gt;=30, "Adult", K39&lt;30,"Young Adult")</f>
        <v>Senior</v>
      </c>
      <c r="K39" s="4">
        <v>63</v>
      </c>
      <c r="L39" s="4" t="s">
        <v>6</v>
      </c>
      <c r="M39" s="4">
        <v>4</v>
      </c>
      <c r="N39" s="22">
        <v>50</v>
      </c>
      <c r="O39" s="24">
        <f>M39 * N39</f>
        <v>200</v>
      </c>
      <c r="P39" s="16">
        <f>O39 * $S$3</f>
        <v>3</v>
      </c>
      <c r="Q39" s="16">
        <f>O39 * $S$4</f>
        <v>4</v>
      </c>
    </row>
    <row r="40" spans="1:17">
      <c r="A40" s="2">
        <v>39</v>
      </c>
      <c r="B40" s="4">
        <f t="shared" si="0"/>
        <v>21</v>
      </c>
      <c r="C40" s="4">
        <f t="shared" si="1"/>
        <v>4</v>
      </c>
      <c r="D40" s="4">
        <f t="shared" si="2"/>
        <v>2023</v>
      </c>
      <c r="E40" s="4" t="str">
        <f t="shared" si="3"/>
        <v>Fri</v>
      </c>
      <c r="F40" s="4" t="str">
        <f t="shared" si="4"/>
        <v>Apr</v>
      </c>
      <c r="G40" s="3">
        <v>45037</v>
      </c>
      <c r="H40" s="4" t="s">
        <v>353</v>
      </c>
      <c r="I40" s="4" t="s">
        <v>4</v>
      </c>
      <c r="J40" s="4" t="str" cm="1">
        <f t="array" ref="J40">_xlfn.IFS(K40&gt;=50, "Senior", K40&gt;=30, "Adult", K40&lt;30,"Young Adult")</f>
        <v>Senior</v>
      </c>
      <c r="K40" s="4">
        <v>63</v>
      </c>
      <c r="L40" s="4" t="s">
        <v>7</v>
      </c>
      <c r="M40" s="4">
        <v>4</v>
      </c>
      <c r="N40" s="22">
        <v>30</v>
      </c>
      <c r="O40" s="24">
        <f>M40 * N40</f>
        <v>120</v>
      </c>
      <c r="P40" s="16">
        <f>O40 * $S$3</f>
        <v>1.7999999999999998</v>
      </c>
      <c r="Q40" s="16">
        <f>O40 * $S$4</f>
        <v>2.4</v>
      </c>
    </row>
    <row r="41" spans="1:17">
      <c r="A41" s="2">
        <v>40</v>
      </c>
      <c r="B41" s="4">
        <f t="shared" si="0"/>
        <v>22</v>
      </c>
      <c r="C41" s="4">
        <f t="shared" si="1"/>
        <v>6</v>
      </c>
      <c r="D41" s="4">
        <f t="shared" si="2"/>
        <v>2023</v>
      </c>
      <c r="E41" s="4" t="str">
        <f t="shared" si="3"/>
        <v>Thu</v>
      </c>
      <c r="F41" s="4" t="str">
        <f t="shared" si="4"/>
        <v>Jun</v>
      </c>
      <c r="G41" s="3">
        <v>45099</v>
      </c>
      <c r="H41" s="4" t="s">
        <v>84</v>
      </c>
      <c r="I41" s="4" t="s">
        <v>4</v>
      </c>
      <c r="J41" s="4" t="str" cm="1">
        <f t="array" ref="J41">_xlfn.IFS(K41&gt;=50, "Senior", K41&gt;=30, "Adult", K41&lt;30,"Young Adult")</f>
        <v>Senior</v>
      </c>
      <c r="K41" s="4">
        <v>63</v>
      </c>
      <c r="L41" s="4" t="s">
        <v>6</v>
      </c>
      <c r="M41" s="4">
        <v>1</v>
      </c>
      <c r="N41" s="22">
        <v>50</v>
      </c>
      <c r="O41" s="24">
        <f>M41 * N41</f>
        <v>50</v>
      </c>
      <c r="P41" s="16">
        <f>O41 * $S$3</f>
        <v>0.75</v>
      </c>
      <c r="Q41" s="16">
        <f>O41 * $S$4</f>
        <v>1</v>
      </c>
    </row>
    <row r="42" spans="1:17">
      <c r="A42" s="2">
        <v>41</v>
      </c>
      <c r="B42" s="4">
        <f t="shared" si="0"/>
        <v>22</v>
      </c>
      <c r="C42" s="4">
        <f t="shared" si="1"/>
        <v>2</v>
      </c>
      <c r="D42" s="4">
        <f t="shared" si="2"/>
        <v>2023</v>
      </c>
      <c r="E42" s="4" t="str">
        <f t="shared" si="3"/>
        <v>Wed</v>
      </c>
      <c r="F42" s="4" t="str">
        <f t="shared" si="4"/>
        <v>Feb</v>
      </c>
      <c r="G42" s="3">
        <v>44979</v>
      </c>
      <c r="H42" s="4" t="s">
        <v>215</v>
      </c>
      <c r="I42" s="4" t="s">
        <v>4</v>
      </c>
      <c r="J42" s="4" t="str" cm="1">
        <f t="array" ref="J42">_xlfn.IFS(K42&gt;=50, "Senior", K42&gt;=30, "Adult", K42&lt;30,"Young Adult")</f>
        <v>Senior</v>
      </c>
      <c r="K42" s="4">
        <v>63</v>
      </c>
      <c r="L42" s="4" t="s">
        <v>7</v>
      </c>
      <c r="M42" s="4">
        <v>2</v>
      </c>
      <c r="N42" s="22">
        <v>25</v>
      </c>
      <c r="O42" s="24">
        <f>M42 * N42</f>
        <v>50</v>
      </c>
      <c r="P42" s="16">
        <f>O42 * $S$3</f>
        <v>0.75</v>
      </c>
      <c r="Q42" s="16">
        <f>O42 * $S$4</f>
        <v>1</v>
      </c>
    </row>
    <row r="43" spans="1:17">
      <c r="A43" s="2">
        <v>42</v>
      </c>
      <c r="B43" s="4">
        <f t="shared" si="0"/>
        <v>17</v>
      </c>
      <c r="C43" s="4">
        <f t="shared" si="1"/>
        <v>2</v>
      </c>
      <c r="D43" s="4">
        <f t="shared" si="2"/>
        <v>2023</v>
      </c>
      <c r="E43" s="4" t="str">
        <f t="shared" si="3"/>
        <v>Fri</v>
      </c>
      <c r="F43" s="4" t="str">
        <f t="shared" si="4"/>
        <v>Feb</v>
      </c>
      <c r="G43" s="3">
        <v>44974</v>
      </c>
      <c r="H43" s="4" t="s">
        <v>354</v>
      </c>
      <c r="I43" s="4" t="s">
        <v>4</v>
      </c>
      <c r="J43" s="4" t="str" cm="1">
        <f t="array" ref="J43">_xlfn.IFS(K43&gt;=50, "Senior", K43&gt;=30, "Adult", K43&lt;30,"Young Adult")</f>
        <v>Senior</v>
      </c>
      <c r="K43" s="4">
        <v>63</v>
      </c>
      <c r="L43" s="4" t="s">
        <v>7</v>
      </c>
      <c r="M43" s="4">
        <v>3</v>
      </c>
      <c r="N43" s="22">
        <v>300</v>
      </c>
      <c r="O43" s="24">
        <f>M43 * N43</f>
        <v>900</v>
      </c>
      <c r="P43" s="16">
        <f>O43 * $S$3</f>
        <v>13.5</v>
      </c>
      <c r="Q43" s="16">
        <f>O43 * $S$4</f>
        <v>18</v>
      </c>
    </row>
    <row r="44" spans="1:17">
      <c r="A44" s="2">
        <v>43</v>
      </c>
      <c r="B44" s="4">
        <f t="shared" si="0"/>
        <v>14</v>
      </c>
      <c r="C44" s="4">
        <f t="shared" si="1"/>
        <v>7</v>
      </c>
      <c r="D44" s="4">
        <f t="shared" si="2"/>
        <v>2023</v>
      </c>
      <c r="E44" s="4" t="str">
        <f t="shared" si="3"/>
        <v>Fri</v>
      </c>
      <c r="F44" s="4" t="str">
        <f t="shared" si="4"/>
        <v>Jul</v>
      </c>
      <c r="G44" s="3">
        <v>45121</v>
      </c>
      <c r="H44" s="4" t="s">
        <v>217</v>
      </c>
      <c r="I44" s="4" t="s">
        <v>3</v>
      </c>
      <c r="J44" s="4" t="str" cm="1">
        <f t="array" ref="J44">_xlfn.IFS(K44&gt;=50, "Senior", K44&gt;=30, "Adult", K44&lt;30,"Young Adult")</f>
        <v>Senior</v>
      </c>
      <c r="K44" s="4">
        <v>63</v>
      </c>
      <c r="L44" s="4" t="s">
        <v>7</v>
      </c>
      <c r="M44" s="4">
        <v>1</v>
      </c>
      <c r="N44" s="22">
        <v>300</v>
      </c>
      <c r="O44" s="24">
        <f>M44 * N44</f>
        <v>300</v>
      </c>
      <c r="P44" s="16">
        <f>O44 * $S$3</f>
        <v>4.5</v>
      </c>
      <c r="Q44" s="16">
        <f>O44 * $S$4</f>
        <v>6</v>
      </c>
    </row>
    <row r="45" spans="1:17">
      <c r="A45" s="2">
        <v>44</v>
      </c>
      <c r="B45" s="4">
        <f t="shared" si="0"/>
        <v>19</v>
      </c>
      <c r="C45" s="4">
        <f t="shared" si="1"/>
        <v>2</v>
      </c>
      <c r="D45" s="4">
        <f t="shared" si="2"/>
        <v>2023</v>
      </c>
      <c r="E45" s="4" t="str">
        <f t="shared" si="3"/>
        <v>Sun</v>
      </c>
      <c r="F45" s="4" t="str">
        <f t="shared" si="4"/>
        <v>Feb</v>
      </c>
      <c r="G45" s="3">
        <v>44976</v>
      </c>
      <c r="H45" s="4" t="s">
        <v>355</v>
      </c>
      <c r="I45" s="4" t="s">
        <v>3</v>
      </c>
      <c r="J45" s="4" t="str" cm="1">
        <f t="array" ref="J45">_xlfn.IFS(K45&gt;=50, "Senior", K45&gt;=30, "Adult", K45&lt;30,"Young Adult")</f>
        <v>Senior</v>
      </c>
      <c r="K45" s="4">
        <v>63</v>
      </c>
      <c r="L45" s="4" t="s">
        <v>7</v>
      </c>
      <c r="M45" s="4">
        <v>1</v>
      </c>
      <c r="N45" s="22">
        <v>25</v>
      </c>
      <c r="O45" s="24">
        <f>M45 * N45</f>
        <v>25</v>
      </c>
      <c r="P45" s="16">
        <f>O45 * $S$3</f>
        <v>0.375</v>
      </c>
      <c r="Q45" s="16">
        <f>O45 * $S$4</f>
        <v>0.5</v>
      </c>
    </row>
    <row r="46" spans="1:17">
      <c r="A46" s="2">
        <v>45</v>
      </c>
      <c r="B46" s="4">
        <f t="shared" si="0"/>
        <v>3</v>
      </c>
      <c r="C46" s="4">
        <f t="shared" si="1"/>
        <v>7</v>
      </c>
      <c r="D46" s="4">
        <f t="shared" si="2"/>
        <v>2023</v>
      </c>
      <c r="E46" s="4" t="str">
        <f t="shared" si="3"/>
        <v>Mon</v>
      </c>
      <c r="F46" s="4" t="str">
        <f t="shared" si="4"/>
        <v>Jul</v>
      </c>
      <c r="G46" s="3">
        <v>45110</v>
      </c>
      <c r="H46" s="4" t="s">
        <v>356</v>
      </c>
      <c r="I46" s="4" t="s">
        <v>3</v>
      </c>
      <c r="J46" s="4" t="str" cm="1">
        <f t="array" ref="J46">_xlfn.IFS(K46&gt;=50, "Senior", K46&gt;=30, "Adult", K46&lt;30,"Young Adult")</f>
        <v>Senior</v>
      </c>
      <c r="K46" s="4">
        <v>63</v>
      </c>
      <c r="L46" s="4" t="s">
        <v>8</v>
      </c>
      <c r="M46" s="4">
        <v>1</v>
      </c>
      <c r="N46" s="22">
        <v>30</v>
      </c>
      <c r="O46" s="24">
        <f>M46 * N46</f>
        <v>30</v>
      </c>
      <c r="P46" s="16">
        <f>O46 * $S$3</f>
        <v>0.44999999999999996</v>
      </c>
      <c r="Q46" s="16">
        <f>O46 * $S$4</f>
        <v>0.6</v>
      </c>
    </row>
    <row r="47" spans="1:17">
      <c r="A47" s="2">
        <v>46</v>
      </c>
      <c r="B47" s="4">
        <f t="shared" si="0"/>
        <v>26</v>
      </c>
      <c r="C47" s="4">
        <f t="shared" si="1"/>
        <v>6</v>
      </c>
      <c r="D47" s="4">
        <f t="shared" si="2"/>
        <v>2023</v>
      </c>
      <c r="E47" s="4" t="str">
        <f t="shared" si="3"/>
        <v>Mon</v>
      </c>
      <c r="F47" s="4" t="str">
        <f t="shared" si="4"/>
        <v>Jun</v>
      </c>
      <c r="G47" s="3">
        <v>45103</v>
      </c>
      <c r="H47" s="4" t="s">
        <v>357</v>
      </c>
      <c r="I47" s="4" t="s">
        <v>3</v>
      </c>
      <c r="J47" s="4" t="str" cm="1">
        <f t="array" ref="J47">_xlfn.IFS(K47&gt;=50, "Senior", K47&gt;=30, "Adult", K47&lt;30,"Young Adult")</f>
        <v>Senior</v>
      </c>
      <c r="K47" s="4">
        <v>63</v>
      </c>
      <c r="L47" s="4" t="s">
        <v>8</v>
      </c>
      <c r="M47" s="4">
        <v>4</v>
      </c>
      <c r="N47" s="22">
        <v>300</v>
      </c>
      <c r="O47" s="24">
        <f>M47 * N47</f>
        <v>1200</v>
      </c>
      <c r="P47" s="16">
        <f>O47 * $S$3</f>
        <v>18</v>
      </c>
      <c r="Q47" s="16">
        <f>O47 * $S$4</f>
        <v>24</v>
      </c>
    </row>
    <row r="48" spans="1:17">
      <c r="A48" s="2">
        <v>47</v>
      </c>
      <c r="B48" s="4">
        <f t="shared" si="0"/>
        <v>6</v>
      </c>
      <c r="C48" s="4">
        <f t="shared" si="1"/>
        <v>11</v>
      </c>
      <c r="D48" s="4">
        <f t="shared" si="2"/>
        <v>2023</v>
      </c>
      <c r="E48" s="4" t="str">
        <f t="shared" si="3"/>
        <v>Mon</v>
      </c>
      <c r="F48" s="4" t="str">
        <f t="shared" si="4"/>
        <v>Nov</v>
      </c>
      <c r="G48" s="3">
        <v>45236</v>
      </c>
      <c r="H48" s="4" t="s">
        <v>91</v>
      </c>
      <c r="I48" s="4" t="s">
        <v>3</v>
      </c>
      <c r="J48" s="4" t="str" cm="1">
        <f t="array" ref="J48">_xlfn.IFS(K48&gt;=50, "Senior", K48&gt;=30, "Adult", K48&lt;30,"Young Adult")</f>
        <v>Senior</v>
      </c>
      <c r="K48" s="4">
        <v>63</v>
      </c>
      <c r="L48" s="4" t="s">
        <v>6</v>
      </c>
      <c r="M48" s="4">
        <v>3</v>
      </c>
      <c r="N48" s="22">
        <v>500</v>
      </c>
      <c r="O48" s="24">
        <f>M48 * N48</f>
        <v>1500</v>
      </c>
      <c r="P48" s="16">
        <f>O48 * $S$3</f>
        <v>22.5</v>
      </c>
      <c r="Q48" s="16">
        <f>O48 * $S$4</f>
        <v>30</v>
      </c>
    </row>
    <row r="49" spans="1:17">
      <c r="A49" s="2">
        <v>48</v>
      </c>
      <c r="B49" s="4">
        <f t="shared" si="0"/>
        <v>16</v>
      </c>
      <c r="C49" s="4">
        <f t="shared" si="1"/>
        <v>5</v>
      </c>
      <c r="D49" s="4">
        <f t="shared" si="2"/>
        <v>2023</v>
      </c>
      <c r="E49" s="4" t="str">
        <f t="shared" si="3"/>
        <v>Tue</v>
      </c>
      <c r="F49" s="4" t="str">
        <f t="shared" si="4"/>
        <v>May</v>
      </c>
      <c r="G49" s="3">
        <v>45062</v>
      </c>
      <c r="H49" s="4" t="s">
        <v>358</v>
      </c>
      <c r="I49" s="4" t="s">
        <v>4</v>
      </c>
      <c r="J49" s="4" t="str" cm="1">
        <f t="array" ref="J49">_xlfn.IFS(K49&gt;=50, "Senior", K49&gt;=30, "Adult", K49&lt;30,"Young Adult")</f>
        <v>Senior</v>
      </c>
      <c r="K49" s="4">
        <v>63</v>
      </c>
      <c r="L49" s="4" t="s">
        <v>8</v>
      </c>
      <c r="M49" s="4">
        <v>3</v>
      </c>
      <c r="N49" s="22">
        <v>300</v>
      </c>
      <c r="O49" s="24">
        <f>M49 * N49</f>
        <v>900</v>
      </c>
      <c r="P49" s="16">
        <f>O49 * $S$3</f>
        <v>13.5</v>
      </c>
      <c r="Q49" s="16">
        <f>O49 * $S$4</f>
        <v>18</v>
      </c>
    </row>
    <row r="50" spans="1:17">
      <c r="A50" s="2">
        <v>49</v>
      </c>
      <c r="B50" s="4">
        <f t="shared" si="0"/>
        <v>23</v>
      </c>
      <c r="C50" s="4">
        <f t="shared" si="1"/>
        <v>1</v>
      </c>
      <c r="D50" s="4">
        <f t="shared" si="2"/>
        <v>2023</v>
      </c>
      <c r="E50" s="4" t="str">
        <f t="shared" si="3"/>
        <v>Mon</v>
      </c>
      <c r="F50" s="4" t="str">
        <f t="shared" si="4"/>
        <v>Jan</v>
      </c>
      <c r="G50" s="3">
        <v>44949</v>
      </c>
      <c r="H50" s="4" t="s">
        <v>359</v>
      </c>
      <c r="I50" s="4" t="s">
        <v>3</v>
      </c>
      <c r="J50" s="4" t="str" cm="1">
        <f t="array" ref="J50">_xlfn.IFS(K50&gt;=50, "Senior", K50&gt;=30, "Adult", K50&lt;30,"Young Adult")</f>
        <v>Senior</v>
      </c>
      <c r="K50" s="4">
        <v>62</v>
      </c>
      <c r="L50" s="4" t="s">
        <v>8</v>
      </c>
      <c r="M50" s="4">
        <v>2</v>
      </c>
      <c r="N50" s="22">
        <v>500</v>
      </c>
      <c r="O50" s="24">
        <f>M50 * N50</f>
        <v>1000</v>
      </c>
      <c r="P50" s="16">
        <f>O50 * $S$3</f>
        <v>15</v>
      </c>
      <c r="Q50" s="16">
        <f>O50 * $S$4</f>
        <v>20</v>
      </c>
    </row>
    <row r="51" spans="1:17">
      <c r="A51" s="2">
        <v>50</v>
      </c>
      <c r="B51" s="4">
        <f t="shared" si="0"/>
        <v>24</v>
      </c>
      <c r="C51" s="4">
        <f t="shared" si="1"/>
        <v>8</v>
      </c>
      <c r="D51" s="4">
        <f t="shared" si="2"/>
        <v>2023</v>
      </c>
      <c r="E51" s="4" t="str">
        <f t="shared" si="3"/>
        <v>Thu</v>
      </c>
      <c r="F51" s="4" t="str">
        <f t="shared" si="4"/>
        <v>Aug</v>
      </c>
      <c r="G51" s="3">
        <v>45162</v>
      </c>
      <c r="H51" s="4" t="s">
        <v>360</v>
      </c>
      <c r="I51" s="4" t="s">
        <v>3</v>
      </c>
      <c r="J51" s="4" t="str" cm="1">
        <f t="array" ref="J51">_xlfn.IFS(K51&gt;=50, "Senior", K51&gt;=30, "Adult", K51&lt;30,"Young Adult")</f>
        <v>Senior</v>
      </c>
      <c r="K51" s="4">
        <v>62</v>
      </c>
      <c r="L51" s="4" t="s">
        <v>6</v>
      </c>
      <c r="M51" s="4">
        <v>3</v>
      </c>
      <c r="N51" s="22">
        <v>25</v>
      </c>
      <c r="O51" s="24">
        <f>M51 * N51</f>
        <v>75</v>
      </c>
      <c r="P51" s="16">
        <f>O51 * $S$3</f>
        <v>1.125</v>
      </c>
      <c r="Q51" s="16">
        <f>O51 * $S$4</f>
        <v>1.5</v>
      </c>
    </row>
    <row r="52" spans="1:17">
      <c r="A52" s="2">
        <v>51</v>
      </c>
      <c r="B52" s="4">
        <f t="shared" si="0"/>
        <v>2</v>
      </c>
      <c r="C52" s="4">
        <f t="shared" si="1"/>
        <v>10</v>
      </c>
      <c r="D52" s="4">
        <f t="shared" si="2"/>
        <v>2023</v>
      </c>
      <c r="E52" s="4" t="str">
        <f t="shared" si="3"/>
        <v>Mon</v>
      </c>
      <c r="F52" s="4" t="str">
        <f t="shared" si="4"/>
        <v>Oct</v>
      </c>
      <c r="G52" s="3">
        <v>45201</v>
      </c>
      <c r="H52" s="4" t="s">
        <v>361</v>
      </c>
      <c r="I52" s="4" t="s">
        <v>4</v>
      </c>
      <c r="J52" s="4" t="str" cm="1">
        <f t="array" ref="J52">_xlfn.IFS(K52&gt;=50, "Senior", K52&gt;=30, "Adult", K52&lt;30,"Young Adult")</f>
        <v>Senior</v>
      </c>
      <c r="K52" s="4">
        <v>62</v>
      </c>
      <c r="L52" s="4" t="s">
        <v>6</v>
      </c>
      <c r="M52" s="4">
        <v>3</v>
      </c>
      <c r="N52" s="22">
        <v>25</v>
      </c>
      <c r="O52" s="24">
        <f>M52 * N52</f>
        <v>75</v>
      </c>
      <c r="P52" s="16">
        <f>O52 * $S$3</f>
        <v>1.125</v>
      </c>
      <c r="Q52" s="16">
        <f>O52 * $S$4</f>
        <v>1.5</v>
      </c>
    </row>
    <row r="53" spans="1:17">
      <c r="A53" s="2">
        <v>52</v>
      </c>
      <c r="B53" s="4">
        <f t="shared" si="0"/>
        <v>5</v>
      </c>
      <c r="C53" s="4">
        <f t="shared" si="1"/>
        <v>3</v>
      </c>
      <c r="D53" s="4">
        <f t="shared" si="2"/>
        <v>2023</v>
      </c>
      <c r="E53" s="4" t="str">
        <f t="shared" si="3"/>
        <v>Sun</v>
      </c>
      <c r="F53" s="4" t="str">
        <f t="shared" si="4"/>
        <v>Mar</v>
      </c>
      <c r="G53" s="3">
        <v>44990</v>
      </c>
      <c r="H53" s="4" t="s">
        <v>96</v>
      </c>
      <c r="I53" s="4" t="s">
        <v>3</v>
      </c>
      <c r="J53" s="4" t="str" cm="1">
        <f t="array" ref="J53">_xlfn.IFS(K53&gt;=50, "Senior", K53&gt;=30, "Adult", K53&lt;30,"Young Adult")</f>
        <v>Senior</v>
      </c>
      <c r="K53" s="4">
        <v>62</v>
      </c>
      <c r="L53" s="4" t="s">
        <v>6</v>
      </c>
      <c r="M53" s="4">
        <v>1</v>
      </c>
      <c r="N53" s="22">
        <v>300</v>
      </c>
      <c r="O53" s="24">
        <f>M53 * N53</f>
        <v>300</v>
      </c>
      <c r="P53" s="16">
        <f>O53 * $S$3</f>
        <v>4.5</v>
      </c>
      <c r="Q53" s="16">
        <f>O53 * $S$4</f>
        <v>6</v>
      </c>
    </row>
    <row r="54" spans="1:17">
      <c r="A54" s="2">
        <v>53</v>
      </c>
      <c r="B54" s="4">
        <f t="shared" si="0"/>
        <v>13</v>
      </c>
      <c r="C54" s="4">
        <f t="shared" si="1"/>
        <v>7</v>
      </c>
      <c r="D54" s="4">
        <f t="shared" si="2"/>
        <v>2023</v>
      </c>
      <c r="E54" s="4" t="str">
        <f t="shared" si="3"/>
        <v>Thu</v>
      </c>
      <c r="F54" s="4" t="str">
        <f t="shared" si="4"/>
        <v>Jul</v>
      </c>
      <c r="G54" s="3">
        <v>45120</v>
      </c>
      <c r="H54" s="4" t="s">
        <v>362</v>
      </c>
      <c r="I54" s="4" t="s">
        <v>4</v>
      </c>
      <c r="J54" s="4" t="str" cm="1">
        <f t="array" ref="J54">_xlfn.IFS(K54&gt;=50, "Senior", K54&gt;=30, "Adult", K54&lt;30,"Young Adult")</f>
        <v>Senior</v>
      </c>
      <c r="K54" s="4">
        <v>62</v>
      </c>
      <c r="L54" s="4" t="s">
        <v>8</v>
      </c>
      <c r="M54" s="4">
        <v>2</v>
      </c>
      <c r="N54" s="22">
        <v>50</v>
      </c>
      <c r="O54" s="24">
        <f>M54 * N54</f>
        <v>100</v>
      </c>
      <c r="P54" s="16">
        <f>O54 * $S$3</f>
        <v>1.5</v>
      </c>
      <c r="Q54" s="16">
        <f>O54 * $S$4</f>
        <v>2</v>
      </c>
    </row>
    <row r="55" spans="1:17">
      <c r="A55" s="2">
        <v>54</v>
      </c>
      <c r="B55" s="4">
        <f t="shared" si="0"/>
        <v>10</v>
      </c>
      <c r="C55" s="4">
        <f t="shared" si="1"/>
        <v>2</v>
      </c>
      <c r="D55" s="4">
        <f t="shared" si="2"/>
        <v>2023</v>
      </c>
      <c r="E55" s="4" t="str">
        <f t="shared" si="3"/>
        <v>Fri</v>
      </c>
      <c r="F55" s="4" t="str">
        <f t="shared" si="4"/>
        <v>Feb</v>
      </c>
      <c r="G55" s="3">
        <v>44967</v>
      </c>
      <c r="H55" s="4" t="s">
        <v>363</v>
      </c>
      <c r="I55" s="4" t="s">
        <v>3</v>
      </c>
      <c r="J55" s="4" t="str" cm="1">
        <f t="array" ref="J55">_xlfn.IFS(K55&gt;=50, "Senior", K55&gt;=30, "Adult", K55&lt;30,"Young Adult")</f>
        <v>Senior</v>
      </c>
      <c r="K55" s="4">
        <v>62</v>
      </c>
      <c r="L55" s="4" t="s">
        <v>8</v>
      </c>
      <c r="M55" s="4">
        <v>3</v>
      </c>
      <c r="N55" s="22">
        <v>500</v>
      </c>
      <c r="O55" s="24">
        <f>M55 * N55</f>
        <v>1500</v>
      </c>
      <c r="P55" s="16">
        <f>O55 * $S$3</f>
        <v>22.5</v>
      </c>
      <c r="Q55" s="16">
        <f>O55 * $S$4</f>
        <v>30</v>
      </c>
    </row>
    <row r="56" spans="1:17">
      <c r="A56" s="2">
        <v>55</v>
      </c>
      <c r="B56" s="4">
        <f t="shared" si="0"/>
        <v>10</v>
      </c>
      <c r="C56" s="4">
        <f t="shared" si="1"/>
        <v>10</v>
      </c>
      <c r="D56" s="4">
        <f t="shared" si="2"/>
        <v>2023</v>
      </c>
      <c r="E56" s="4" t="str">
        <f t="shared" si="3"/>
        <v>Tue</v>
      </c>
      <c r="F56" s="4" t="str">
        <f t="shared" si="4"/>
        <v>Oct</v>
      </c>
      <c r="G56" s="3">
        <v>45209</v>
      </c>
      <c r="H56" s="4" t="s">
        <v>99</v>
      </c>
      <c r="I56" s="4" t="s">
        <v>4</v>
      </c>
      <c r="J56" s="4" t="str" cm="1">
        <f t="array" ref="J56">_xlfn.IFS(K56&gt;=50, "Senior", K56&gt;=30, "Adult", K56&lt;30,"Young Adult")</f>
        <v>Senior</v>
      </c>
      <c r="K56" s="4">
        <v>62</v>
      </c>
      <c r="L56" s="4" t="s">
        <v>6</v>
      </c>
      <c r="M56" s="4">
        <v>4</v>
      </c>
      <c r="N56" s="22">
        <v>30</v>
      </c>
      <c r="O56" s="24">
        <f>M56 * N56</f>
        <v>120</v>
      </c>
      <c r="P56" s="16">
        <f>O56 * $S$3</f>
        <v>1.7999999999999998</v>
      </c>
      <c r="Q56" s="16">
        <f>O56 * $S$4</f>
        <v>2.4</v>
      </c>
    </row>
    <row r="57" spans="1:17">
      <c r="A57" s="2">
        <v>56</v>
      </c>
      <c r="B57" s="4">
        <f t="shared" si="0"/>
        <v>31</v>
      </c>
      <c r="C57" s="4">
        <f t="shared" si="1"/>
        <v>5</v>
      </c>
      <c r="D57" s="4">
        <f t="shared" si="2"/>
        <v>2023</v>
      </c>
      <c r="E57" s="4" t="str">
        <f t="shared" si="3"/>
        <v>Wed</v>
      </c>
      <c r="F57" s="4" t="str">
        <f t="shared" si="4"/>
        <v>May</v>
      </c>
      <c r="G57" s="3">
        <v>45077</v>
      </c>
      <c r="H57" s="4" t="s">
        <v>364</v>
      </c>
      <c r="I57" s="4" t="s">
        <v>3</v>
      </c>
      <c r="J57" s="4" t="str" cm="1">
        <f t="array" ref="J57">_xlfn.IFS(K57&gt;=50, "Senior", K57&gt;=30, "Adult", K57&lt;30,"Young Adult")</f>
        <v>Senior</v>
      </c>
      <c r="K57" s="4">
        <v>62</v>
      </c>
      <c r="L57" s="4" t="s">
        <v>7</v>
      </c>
      <c r="M57" s="4">
        <v>3</v>
      </c>
      <c r="N57" s="22">
        <v>300</v>
      </c>
      <c r="O57" s="24">
        <f>M57 * N57</f>
        <v>900</v>
      </c>
      <c r="P57" s="16">
        <f>O57 * $S$3</f>
        <v>13.5</v>
      </c>
      <c r="Q57" s="16">
        <f>O57 * $S$4</f>
        <v>18</v>
      </c>
    </row>
    <row r="58" spans="1:17">
      <c r="A58" s="2">
        <v>57</v>
      </c>
      <c r="B58" s="4">
        <f t="shared" si="0"/>
        <v>18</v>
      </c>
      <c r="C58" s="4">
        <f t="shared" si="1"/>
        <v>11</v>
      </c>
      <c r="D58" s="4">
        <f t="shared" si="2"/>
        <v>2023</v>
      </c>
      <c r="E58" s="4" t="str">
        <f t="shared" si="3"/>
        <v>Sat</v>
      </c>
      <c r="F58" s="4" t="str">
        <f t="shared" si="4"/>
        <v>Nov</v>
      </c>
      <c r="G58" s="3">
        <v>45248</v>
      </c>
      <c r="H58" s="4" t="s">
        <v>365</v>
      </c>
      <c r="I58" s="4" t="s">
        <v>3</v>
      </c>
      <c r="J58" s="4" t="str" cm="1">
        <f t="array" ref="J58">_xlfn.IFS(K58&gt;=50, "Senior", K58&gt;=30, "Adult", K58&lt;30,"Young Adult")</f>
        <v>Senior</v>
      </c>
      <c r="K58" s="4">
        <v>62</v>
      </c>
      <c r="L58" s="4" t="s">
        <v>6</v>
      </c>
      <c r="M58" s="4">
        <v>1</v>
      </c>
      <c r="N58" s="22">
        <v>30</v>
      </c>
      <c r="O58" s="24">
        <f>M58 * N58</f>
        <v>30</v>
      </c>
      <c r="P58" s="16">
        <f>O58 * $S$3</f>
        <v>0.44999999999999996</v>
      </c>
      <c r="Q58" s="16">
        <f>O58 * $S$4</f>
        <v>0.6</v>
      </c>
    </row>
    <row r="59" spans="1:17">
      <c r="A59" s="2">
        <v>58</v>
      </c>
      <c r="B59" s="4">
        <f t="shared" si="0"/>
        <v>13</v>
      </c>
      <c r="C59" s="4">
        <f t="shared" si="1"/>
        <v>11</v>
      </c>
      <c r="D59" s="4">
        <f t="shared" si="2"/>
        <v>2023</v>
      </c>
      <c r="E59" s="4" t="str">
        <f t="shared" si="3"/>
        <v>Mon</v>
      </c>
      <c r="F59" s="4" t="str">
        <f t="shared" si="4"/>
        <v>Nov</v>
      </c>
      <c r="G59" s="3">
        <v>45243</v>
      </c>
      <c r="H59" s="4" t="s">
        <v>366</v>
      </c>
      <c r="I59" s="4" t="s">
        <v>4</v>
      </c>
      <c r="J59" s="4" t="str" cm="1">
        <f t="array" ref="J59">_xlfn.IFS(K59&gt;=50, "Senior", K59&gt;=30, "Adult", K59&lt;30,"Young Adult")</f>
        <v>Senior</v>
      </c>
      <c r="K59" s="4">
        <v>62</v>
      </c>
      <c r="L59" s="4" t="s">
        <v>7</v>
      </c>
      <c r="M59" s="4">
        <v>4</v>
      </c>
      <c r="N59" s="22">
        <v>300</v>
      </c>
      <c r="O59" s="24">
        <f>M59 * N59</f>
        <v>1200</v>
      </c>
      <c r="P59" s="16">
        <f>O59 * $S$3</f>
        <v>18</v>
      </c>
      <c r="Q59" s="16">
        <f>O59 * $S$4</f>
        <v>24</v>
      </c>
    </row>
    <row r="60" spans="1:17">
      <c r="A60" s="2">
        <v>59</v>
      </c>
      <c r="B60" s="4">
        <f t="shared" si="0"/>
        <v>5</v>
      </c>
      <c r="C60" s="4">
        <f t="shared" si="1"/>
        <v>7</v>
      </c>
      <c r="D60" s="4">
        <f t="shared" si="2"/>
        <v>2023</v>
      </c>
      <c r="E60" s="4" t="str">
        <f t="shared" si="3"/>
        <v>Wed</v>
      </c>
      <c r="F60" s="4" t="str">
        <f t="shared" si="4"/>
        <v>Jul</v>
      </c>
      <c r="G60" s="3">
        <v>45112</v>
      </c>
      <c r="H60" s="4" t="s">
        <v>367</v>
      </c>
      <c r="I60" s="4" t="s">
        <v>4</v>
      </c>
      <c r="J60" s="4" t="str" cm="1">
        <f t="array" ref="J60">_xlfn.IFS(K60&gt;=50, "Senior", K60&gt;=30, "Adult", K60&lt;30,"Young Adult")</f>
        <v>Senior</v>
      </c>
      <c r="K60" s="4">
        <v>62</v>
      </c>
      <c r="L60" s="4" t="s">
        <v>7</v>
      </c>
      <c r="M60" s="4">
        <v>1</v>
      </c>
      <c r="N60" s="22">
        <v>50</v>
      </c>
      <c r="O60" s="24">
        <f>M60 * N60</f>
        <v>50</v>
      </c>
      <c r="P60" s="16">
        <f>O60 * $S$3</f>
        <v>0.75</v>
      </c>
      <c r="Q60" s="16">
        <f>O60 * $S$4</f>
        <v>1</v>
      </c>
    </row>
    <row r="61" spans="1:17">
      <c r="A61" s="2">
        <v>60</v>
      </c>
      <c r="B61" s="4">
        <f t="shared" si="0"/>
        <v>23</v>
      </c>
      <c r="C61" s="4">
        <f t="shared" si="1"/>
        <v>10</v>
      </c>
      <c r="D61" s="4">
        <f t="shared" si="2"/>
        <v>2023</v>
      </c>
      <c r="E61" s="4" t="str">
        <f t="shared" si="3"/>
        <v>Mon</v>
      </c>
      <c r="F61" s="4" t="str">
        <f t="shared" si="4"/>
        <v>Oct</v>
      </c>
      <c r="G61" s="3">
        <v>45222</v>
      </c>
      <c r="H61" s="4" t="s">
        <v>104</v>
      </c>
      <c r="I61" s="4" t="s">
        <v>4</v>
      </c>
      <c r="J61" s="4" t="str" cm="1">
        <f t="array" ref="J61">_xlfn.IFS(K61&gt;=50, "Senior", K61&gt;=30, "Adult", K61&lt;30,"Young Adult")</f>
        <v>Senior</v>
      </c>
      <c r="K61" s="4">
        <v>62</v>
      </c>
      <c r="L61" s="4" t="s">
        <v>6</v>
      </c>
      <c r="M61" s="4">
        <v>3</v>
      </c>
      <c r="N61" s="22">
        <v>50</v>
      </c>
      <c r="O61" s="24">
        <f>M61 * N61</f>
        <v>150</v>
      </c>
      <c r="P61" s="16">
        <f>O61 * $S$3</f>
        <v>2.25</v>
      </c>
      <c r="Q61" s="16">
        <f>O61 * $S$4</f>
        <v>3</v>
      </c>
    </row>
    <row r="62" spans="1:17">
      <c r="A62" s="2">
        <v>61</v>
      </c>
      <c r="B62" s="4">
        <f t="shared" si="0"/>
        <v>9</v>
      </c>
      <c r="C62" s="4">
        <f t="shared" si="1"/>
        <v>4</v>
      </c>
      <c r="D62" s="4">
        <f t="shared" si="2"/>
        <v>2023</v>
      </c>
      <c r="E62" s="4" t="str">
        <f t="shared" si="3"/>
        <v>Sun</v>
      </c>
      <c r="F62" s="4" t="str">
        <f t="shared" si="4"/>
        <v>Apr</v>
      </c>
      <c r="G62" s="3">
        <v>45025</v>
      </c>
      <c r="H62" s="4" t="s">
        <v>368</v>
      </c>
      <c r="I62" s="4" t="s">
        <v>4</v>
      </c>
      <c r="J62" s="4" t="str" cm="1">
        <f t="array" ref="J62">_xlfn.IFS(K62&gt;=50, "Senior", K62&gt;=30, "Adult", K62&lt;30,"Young Adult")</f>
        <v>Senior</v>
      </c>
      <c r="K62" s="4">
        <v>62</v>
      </c>
      <c r="L62" s="4" t="s">
        <v>6</v>
      </c>
      <c r="M62" s="4">
        <v>4</v>
      </c>
      <c r="N62" s="22">
        <v>50</v>
      </c>
      <c r="O62" s="24">
        <f>M62 * N62</f>
        <v>200</v>
      </c>
      <c r="P62" s="16">
        <f>O62 * $S$3</f>
        <v>3</v>
      </c>
      <c r="Q62" s="16">
        <f>O62 * $S$4</f>
        <v>4</v>
      </c>
    </row>
    <row r="63" spans="1:17">
      <c r="A63" s="2">
        <v>62</v>
      </c>
      <c r="B63" s="4">
        <f t="shared" si="0"/>
        <v>27</v>
      </c>
      <c r="C63" s="4">
        <f t="shared" si="1"/>
        <v>12</v>
      </c>
      <c r="D63" s="4">
        <f t="shared" si="2"/>
        <v>2023</v>
      </c>
      <c r="E63" s="4" t="str">
        <f t="shared" si="3"/>
        <v>Wed</v>
      </c>
      <c r="F63" s="4" t="str">
        <f t="shared" si="4"/>
        <v>Dec</v>
      </c>
      <c r="G63" s="3">
        <v>45287</v>
      </c>
      <c r="H63" s="4" t="s">
        <v>369</v>
      </c>
      <c r="I63" s="4" t="s">
        <v>4</v>
      </c>
      <c r="J63" s="4" t="str" cm="1">
        <f t="array" ref="J63">_xlfn.IFS(K63&gt;=50, "Senior", K63&gt;=30, "Adult", K63&lt;30,"Young Adult")</f>
        <v>Senior</v>
      </c>
      <c r="K63" s="4">
        <v>62</v>
      </c>
      <c r="L63" s="4" t="s">
        <v>6</v>
      </c>
      <c r="M63" s="4">
        <v>2</v>
      </c>
      <c r="N63" s="22">
        <v>50</v>
      </c>
      <c r="O63" s="24">
        <f>M63 * N63</f>
        <v>100</v>
      </c>
      <c r="P63" s="16">
        <f>O63 * $S$3</f>
        <v>1.5</v>
      </c>
      <c r="Q63" s="16">
        <f>O63 * $S$4</f>
        <v>2</v>
      </c>
    </row>
    <row r="64" spans="1:17">
      <c r="A64" s="2">
        <v>63</v>
      </c>
      <c r="B64" s="4">
        <f t="shared" si="0"/>
        <v>5</v>
      </c>
      <c r="C64" s="4">
        <f t="shared" si="1"/>
        <v>2</v>
      </c>
      <c r="D64" s="4">
        <f t="shared" si="2"/>
        <v>2023</v>
      </c>
      <c r="E64" s="4" t="str">
        <f t="shared" si="3"/>
        <v>Sun</v>
      </c>
      <c r="F64" s="4" t="str">
        <f t="shared" si="4"/>
        <v>Feb</v>
      </c>
      <c r="G64" s="3">
        <v>44962</v>
      </c>
      <c r="H64" s="4" t="s">
        <v>370</v>
      </c>
      <c r="I64" s="4" t="s">
        <v>4</v>
      </c>
      <c r="J64" s="4" t="str" cm="1">
        <f t="array" ref="J64">_xlfn.IFS(K64&gt;=50, "Senior", K64&gt;=30, "Adult", K64&lt;30,"Young Adult")</f>
        <v>Senior</v>
      </c>
      <c r="K64" s="4">
        <v>62</v>
      </c>
      <c r="L64" s="4" t="s">
        <v>8</v>
      </c>
      <c r="M64" s="4">
        <v>2</v>
      </c>
      <c r="N64" s="22">
        <v>25</v>
      </c>
      <c r="O64" s="24">
        <f>M64 * N64</f>
        <v>50</v>
      </c>
      <c r="P64" s="16">
        <f>O64 * $S$3</f>
        <v>0.75</v>
      </c>
      <c r="Q64" s="16">
        <f>O64 * $S$4</f>
        <v>1</v>
      </c>
    </row>
    <row r="65" spans="1:17">
      <c r="A65" s="2">
        <v>64</v>
      </c>
      <c r="B65" s="4">
        <f t="shared" si="0"/>
        <v>24</v>
      </c>
      <c r="C65" s="4">
        <f t="shared" si="1"/>
        <v>1</v>
      </c>
      <c r="D65" s="4">
        <f t="shared" si="2"/>
        <v>2023</v>
      </c>
      <c r="E65" s="4" t="str">
        <f t="shared" si="3"/>
        <v>Tue</v>
      </c>
      <c r="F65" s="4" t="str">
        <f t="shared" si="4"/>
        <v>Jan</v>
      </c>
      <c r="G65" s="3">
        <v>44950</v>
      </c>
      <c r="H65" s="4" t="s">
        <v>238</v>
      </c>
      <c r="I65" s="4" t="s">
        <v>4</v>
      </c>
      <c r="J65" s="4" t="str" cm="1">
        <f t="array" ref="J65">_xlfn.IFS(K65&gt;=50, "Senior", K65&gt;=30, "Adult", K65&lt;30,"Young Adult")</f>
        <v>Senior</v>
      </c>
      <c r="K65" s="4">
        <v>62</v>
      </c>
      <c r="L65" s="4" t="s">
        <v>7</v>
      </c>
      <c r="M65" s="4">
        <v>4</v>
      </c>
      <c r="N65" s="22">
        <v>25</v>
      </c>
      <c r="O65" s="24">
        <f>M65 * N65</f>
        <v>100</v>
      </c>
      <c r="P65" s="16">
        <f>O65 * $S$3</f>
        <v>1.5</v>
      </c>
      <c r="Q65" s="16">
        <f>O65 * $S$4</f>
        <v>2</v>
      </c>
    </row>
    <row r="66" spans="1:17">
      <c r="A66" s="2">
        <v>65</v>
      </c>
      <c r="B66" s="4">
        <f t="shared" si="0"/>
        <v>5</v>
      </c>
      <c r="C66" s="4">
        <f t="shared" si="1"/>
        <v>12</v>
      </c>
      <c r="D66" s="4">
        <f t="shared" si="2"/>
        <v>2023</v>
      </c>
      <c r="E66" s="4" t="str">
        <f t="shared" si="3"/>
        <v>Tue</v>
      </c>
      <c r="F66" s="4" t="str">
        <f t="shared" si="4"/>
        <v>Dec</v>
      </c>
      <c r="G66" s="3">
        <v>45265</v>
      </c>
      <c r="H66" s="4" t="s">
        <v>371</v>
      </c>
      <c r="I66" s="4" t="s">
        <v>4</v>
      </c>
      <c r="J66" s="4" t="str" cm="1">
        <f t="array" ref="J66">_xlfn.IFS(K66&gt;=50, "Senior", K66&gt;=30, "Adult", K66&lt;30,"Young Adult")</f>
        <v>Senior</v>
      </c>
      <c r="K66" s="4">
        <v>62</v>
      </c>
      <c r="L66" s="4" t="s">
        <v>8</v>
      </c>
      <c r="M66" s="4">
        <v>4</v>
      </c>
      <c r="N66" s="22">
        <v>500</v>
      </c>
      <c r="O66" s="24">
        <f>M66 * N66</f>
        <v>2000</v>
      </c>
      <c r="P66" s="16">
        <f>O66 * $S$3</f>
        <v>30</v>
      </c>
      <c r="Q66" s="16">
        <f>O66 * $S$4</f>
        <v>40</v>
      </c>
    </row>
    <row r="67" spans="1:17">
      <c r="A67" s="2">
        <v>66</v>
      </c>
      <c r="B67" s="4">
        <f t="shared" ref="B67:B130" si="5">DAY(G67)</f>
        <v>27</v>
      </c>
      <c r="C67" s="4">
        <f t="shared" ref="C67:C130" si="6">MONTH(G67)</f>
        <v>4</v>
      </c>
      <c r="D67" s="4">
        <f t="shared" ref="D67:D130" si="7">YEAR(G67)</f>
        <v>2023</v>
      </c>
      <c r="E67" s="4" t="str">
        <f t="shared" ref="E67:E130" si="8">TEXT(G67,"DDD")</f>
        <v>Thu</v>
      </c>
      <c r="F67" s="4" t="str">
        <f t="shared" ref="F67:F130" si="9">TEXT(G67,"MMM")</f>
        <v>Apr</v>
      </c>
      <c r="G67" s="3">
        <v>45043</v>
      </c>
      <c r="H67" s="4" t="s">
        <v>372</v>
      </c>
      <c r="I67" s="4" t="s">
        <v>3</v>
      </c>
      <c r="J67" s="4" t="str" cm="1">
        <f t="array" ref="J67">_xlfn.IFS(K67&gt;=50, "Senior", K67&gt;=30, "Adult", K67&lt;30,"Young Adult")</f>
        <v>Senior</v>
      </c>
      <c r="K67" s="4">
        <v>62</v>
      </c>
      <c r="L67" s="4" t="s">
        <v>8</v>
      </c>
      <c r="M67" s="4">
        <v>1</v>
      </c>
      <c r="N67" s="22">
        <v>30</v>
      </c>
      <c r="O67" s="24">
        <f>M67 * N67</f>
        <v>30</v>
      </c>
      <c r="P67" s="16">
        <f>O67 * $S$3</f>
        <v>0.44999999999999996</v>
      </c>
      <c r="Q67" s="16">
        <f>O67 * $S$4</f>
        <v>0.6</v>
      </c>
    </row>
    <row r="68" spans="1:17">
      <c r="A68" s="2">
        <v>67</v>
      </c>
      <c r="B68" s="4">
        <f t="shared" si="5"/>
        <v>29</v>
      </c>
      <c r="C68" s="4">
        <f t="shared" si="6"/>
        <v>5</v>
      </c>
      <c r="D68" s="4">
        <f t="shared" si="7"/>
        <v>2023</v>
      </c>
      <c r="E68" s="4" t="str">
        <f t="shared" si="8"/>
        <v>Mon</v>
      </c>
      <c r="F68" s="4" t="str">
        <f t="shared" si="9"/>
        <v>May</v>
      </c>
      <c r="G68" s="3">
        <v>45075</v>
      </c>
      <c r="H68" s="4" t="s">
        <v>111</v>
      </c>
      <c r="I68" s="4" t="s">
        <v>3</v>
      </c>
      <c r="J68" s="4" t="str" cm="1">
        <f t="array" ref="J68">_xlfn.IFS(K68&gt;=50, "Senior", K68&gt;=30, "Adult", K68&lt;30,"Young Adult")</f>
        <v>Senior</v>
      </c>
      <c r="K68" s="4">
        <v>62</v>
      </c>
      <c r="L68" s="4" t="s">
        <v>6</v>
      </c>
      <c r="M68" s="4">
        <v>4</v>
      </c>
      <c r="N68" s="22">
        <v>300</v>
      </c>
      <c r="O68" s="24">
        <f>M68 * N68</f>
        <v>1200</v>
      </c>
      <c r="P68" s="16">
        <f>O68 * $S$3</f>
        <v>18</v>
      </c>
      <c r="Q68" s="16">
        <f>O68 * $S$4</f>
        <v>24</v>
      </c>
    </row>
    <row r="69" spans="1:17">
      <c r="A69" s="2">
        <v>68</v>
      </c>
      <c r="B69" s="4">
        <f t="shared" si="5"/>
        <v>10</v>
      </c>
      <c r="C69" s="4">
        <f t="shared" si="6"/>
        <v>2</v>
      </c>
      <c r="D69" s="4">
        <f t="shared" si="7"/>
        <v>2023</v>
      </c>
      <c r="E69" s="4" t="str">
        <f t="shared" si="8"/>
        <v>Fri</v>
      </c>
      <c r="F69" s="4" t="str">
        <f t="shared" si="9"/>
        <v>Feb</v>
      </c>
      <c r="G69" s="3">
        <v>44967</v>
      </c>
      <c r="H69" s="4" t="s">
        <v>373</v>
      </c>
      <c r="I69" s="4" t="s">
        <v>4</v>
      </c>
      <c r="J69" s="4" t="str" cm="1">
        <f t="array" ref="J69">_xlfn.IFS(K69&gt;=50, "Senior", K69&gt;=30, "Adult", K69&lt;30,"Young Adult")</f>
        <v>Senior</v>
      </c>
      <c r="K69" s="4">
        <v>62</v>
      </c>
      <c r="L69" s="4" t="s">
        <v>8</v>
      </c>
      <c r="M69" s="4">
        <v>1</v>
      </c>
      <c r="N69" s="22">
        <v>300</v>
      </c>
      <c r="O69" s="24">
        <f>M69 * N69</f>
        <v>300</v>
      </c>
      <c r="P69" s="16">
        <f>O69 * $S$3</f>
        <v>4.5</v>
      </c>
      <c r="Q69" s="16">
        <f>O69 * $S$4</f>
        <v>6</v>
      </c>
    </row>
    <row r="70" spans="1:17">
      <c r="A70" s="2">
        <v>69</v>
      </c>
      <c r="B70" s="4">
        <f t="shared" si="5"/>
        <v>30</v>
      </c>
      <c r="C70" s="4">
        <f t="shared" si="6"/>
        <v>4</v>
      </c>
      <c r="D70" s="4">
        <f t="shared" si="7"/>
        <v>2023</v>
      </c>
      <c r="E70" s="4" t="str">
        <f t="shared" si="8"/>
        <v>Sun</v>
      </c>
      <c r="F70" s="4" t="str">
        <f t="shared" si="9"/>
        <v>Apr</v>
      </c>
      <c r="G70" s="3">
        <v>45046</v>
      </c>
      <c r="H70" s="4" t="s">
        <v>374</v>
      </c>
      <c r="I70" s="4" t="s">
        <v>3</v>
      </c>
      <c r="J70" s="4" t="str" cm="1">
        <f t="array" ref="J70">_xlfn.IFS(K70&gt;=50, "Senior", K70&gt;=30, "Adult", K70&lt;30,"Young Adult")</f>
        <v>Senior</v>
      </c>
      <c r="K70" s="4">
        <v>62</v>
      </c>
      <c r="L70" s="4" t="s">
        <v>6</v>
      </c>
      <c r="M70" s="4">
        <v>3</v>
      </c>
      <c r="N70" s="22">
        <v>25</v>
      </c>
      <c r="O70" s="24">
        <f>M70 * N70</f>
        <v>75</v>
      </c>
      <c r="P70" s="16">
        <f>O70 * $S$3</f>
        <v>1.125</v>
      </c>
      <c r="Q70" s="16">
        <f>O70 * $S$4</f>
        <v>1.5</v>
      </c>
    </row>
    <row r="71" spans="1:17">
      <c r="A71" s="2">
        <v>70</v>
      </c>
      <c r="B71" s="4">
        <f t="shared" si="5"/>
        <v>21</v>
      </c>
      <c r="C71" s="4">
        <f t="shared" si="6"/>
        <v>2</v>
      </c>
      <c r="D71" s="4">
        <f t="shared" si="7"/>
        <v>2023</v>
      </c>
      <c r="E71" s="4" t="str">
        <f t="shared" si="8"/>
        <v>Tue</v>
      </c>
      <c r="F71" s="4" t="str">
        <f t="shared" si="9"/>
        <v>Feb</v>
      </c>
      <c r="G71" s="3">
        <v>44978</v>
      </c>
      <c r="H71" s="4" t="s">
        <v>244</v>
      </c>
      <c r="I71" s="4" t="s">
        <v>3</v>
      </c>
      <c r="J71" s="4" t="str" cm="1">
        <f t="array" ref="J71">_xlfn.IFS(K71&gt;=50, "Senior", K71&gt;=30, "Adult", K71&lt;30,"Young Adult")</f>
        <v>Senior</v>
      </c>
      <c r="K71" s="4">
        <v>62</v>
      </c>
      <c r="L71" s="4" t="s">
        <v>7</v>
      </c>
      <c r="M71" s="4">
        <v>1</v>
      </c>
      <c r="N71" s="22">
        <v>300</v>
      </c>
      <c r="O71" s="24">
        <f>M71 * N71</f>
        <v>300</v>
      </c>
      <c r="P71" s="16">
        <f>O71 * $S$3</f>
        <v>4.5</v>
      </c>
      <c r="Q71" s="16">
        <f>O71 * $S$4</f>
        <v>6</v>
      </c>
    </row>
    <row r="72" spans="1:17">
      <c r="A72" s="2">
        <v>71</v>
      </c>
      <c r="B72" s="4">
        <f t="shared" si="5"/>
        <v>14</v>
      </c>
      <c r="C72" s="4">
        <f t="shared" si="6"/>
        <v>7</v>
      </c>
      <c r="D72" s="4">
        <f t="shared" si="7"/>
        <v>2023</v>
      </c>
      <c r="E72" s="4" t="str">
        <f t="shared" si="8"/>
        <v>Fri</v>
      </c>
      <c r="F72" s="4" t="str">
        <f t="shared" si="9"/>
        <v>Jul</v>
      </c>
      <c r="G72" s="3">
        <v>45121</v>
      </c>
      <c r="H72" s="4" t="s">
        <v>375</v>
      </c>
      <c r="I72" s="4" t="s">
        <v>3</v>
      </c>
      <c r="J72" s="4" t="str" cm="1">
        <f t="array" ref="J72">_xlfn.IFS(K72&gt;=50, "Senior", K72&gt;=30, "Adult", K72&lt;30,"Young Adult")</f>
        <v>Senior</v>
      </c>
      <c r="K72" s="4">
        <v>62</v>
      </c>
      <c r="L72" s="4" t="s">
        <v>6</v>
      </c>
      <c r="M72" s="4">
        <v>4</v>
      </c>
      <c r="N72" s="22">
        <v>25</v>
      </c>
      <c r="O72" s="24">
        <f>M72 * N72</f>
        <v>100</v>
      </c>
      <c r="P72" s="16">
        <f>O72 * $S$3</f>
        <v>1.5</v>
      </c>
      <c r="Q72" s="16">
        <f>O72 * $S$4</f>
        <v>2</v>
      </c>
    </row>
    <row r="73" spans="1:17">
      <c r="A73" s="2">
        <v>72</v>
      </c>
      <c r="B73" s="4">
        <f t="shared" si="5"/>
        <v>23</v>
      </c>
      <c r="C73" s="4">
        <f t="shared" si="6"/>
        <v>5</v>
      </c>
      <c r="D73" s="4">
        <f t="shared" si="7"/>
        <v>2023</v>
      </c>
      <c r="E73" s="4" t="str">
        <f t="shared" si="8"/>
        <v>Tue</v>
      </c>
      <c r="F73" s="4" t="str">
        <f t="shared" si="9"/>
        <v>May</v>
      </c>
      <c r="G73" s="3">
        <v>45069</v>
      </c>
      <c r="H73" s="4" t="s">
        <v>376</v>
      </c>
      <c r="I73" s="4" t="s">
        <v>3</v>
      </c>
      <c r="J73" s="4" t="str" cm="1">
        <f t="array" ref="J73">_xlfn.IFS(K73&gt;=50, "Senior", K73&gt;=30, "Adult", K73&lt;30,"Young Adult")</f>
        <v>Senior</v>
      </c>
      <c r="K73" s="4">
        <v>62</v>
      </c>
      <c r="L73" s="4" t="s">
        <v>8</v>
      </c>
      <c r="M73" s="4">
        <v>4</v>
      </c>
      <c r="N73" s="22">
        <v>500</v>
      </c>
      <c r="O73" s="24">
        <f>M73 * N73</f>
        <v>2000</v>
      </c>
      <c r="P73" s="16">
        <f>O73 * $S$3</f>
        <v>30</v>
      </c>
      <c r="Q73" s="16">
        <f>O73 * $S$4</f>
        <v>40</v>
      </c>
    </row>
    <row r="74" spans="1:17">
      <c r="A74" s="2">
        <v>73</v>
      </c>
      <c r="B74" s="4">
        <f t="shared" si="5"/>
        <v>21</v>
      </c>
      <c r="C74" s="4">
        <f t="shared" si="6"/>
        <v>8</v>
      </c>
      <c r="D74" s="4">
        <f t="shared" si="7"/>
        <v>2023</v>
      </c>
      <c r="E74" s="4" t="str">
        <f t="shared" si="8"/>
        <v>Mon</v>
      </c>
      <c r="F74" s="4" t="str">
        <f t="shared" si="9"/>
        <v>Aug</v>
      </c>
      <c r="G74" s="3">
        <v>45159</v>
      </c>
      <c r="H74" s="4" t="s">
        <v>377</v>
      </c>
      <c r="I74" s="4" t="s">
        <v>4</v>
      </c>
      <c r="J74" s="4" t="str" cm="1">
        <f t="array" ref="J74">_xlfn.IFS(K74&gt;=50, "Senior", K74&gt;=30, "Adult", K74&lt;30,"Young Adult")</f>
        <v>Senior</v>
      </c>
      <c r="K74" s="4">
        <v>62</v>
      </c>
      <c r="L74" s="4" t="s">
        <v>8</v>
      </c>
      <c r="M74" s="4">
        <v>3</v>
      </c>
      <c r="N74" s="22">
        <v>30</v>
      </c>
      <c r="O74" s="24">
        <f>M74 * N74</f>
        <v>90</v>
      </c>
      <c r="P74" s="16">
        <f>O74 * $S$3</f>
        <v>1.3499999999999999</v>
      </c>
      <c r="Q74" s="16">
        <f>O74 * $S$4</f>
        <v>1.8</v>
      </c>
    </row>
    <row r="75" spans="1:17">
      <c r="A75" s="2">
        <v>74</v>
      </c>
      <c r="B75" s="4">
        <f t="shared" si="5"/>
        <v>22</v>
      </c>
      <c r="C75" s="4">
        <f t="shared" si="6"/>
        <v>11</v>
      </c>
      <c r="D75" s="4">
        <f t="shared" si="7"/>
        <v>2023</v>
      </c>
      <c r="E75" s="4" t="str">
        <f t="shared" si="8"/>
        <v>Wed</v>
      </c>
      <c r="F75" s="4" t="str">
        <f t="shared" si="9"/>
        <v>Nov</v>
      </c>
      <c r="G75" s="3">
        <v>45252</v>
      </c>
      <c r="H75" s="4" t="s">
        <v>378</v>
      </c>
      <c r="I75" s="4" t="s">
        <v>3</v>
      </c>
      <c r="J75" s="4" t="str" cm="1">
        <f t="array" ref="J75">_xlfn.IFS(K75&gt;=50, "Senior", K75&gt;=30, "Adult", K75&lt;30,"Young Adult")</f>
        <v>Senior</v>
      </c>
      <c r="K75" s="4">
        <v>62</v>
      </c>
      <c r="L75" s="4" t="s">
        <v>6</v>
      </c>
      <c r="M75" s="4">
        <v>4</v>
      </c>
      <c r="N75" s="22">
        <v>500</v>
      </c>
      <c r="O75" s="24">
        <f>M75 * N75</f>
        <v>2000</v>
      </c>
      <c r="P75" s="16">
        <f>O75 * $S$3</f>
        <v>30</v>
      </c>
      <c r="Q75" s="16">
        <f>O75 * $S$4</f>
        <v>40</v>
      </c>
    </row>
    <row r="76" spans="1:17">
      <c r="A76" s="2">
        <v>75</v>
      </c>
      <c r="B76" s="4">
        <f t="shared" si="5"/>
        <v>6</v>
      </c>
      <c r="C76" s="4">
        <f t="shared" si="6"/>
        <v>7</v>
      </c>
      <c r="D76" s="4">
        <f t="shared" si="7"/>
        <v>2023</v>
      </c>
      <c r="E76" s="4" t="str">
        <f t="shared" si="8"/>
        <v>Thu</v>
      </c>
      <c r="F76" s="4" t="str">
        <f t="shared" si="9"/>
        <v>Jul</v>
      </c>
      <c r="G76" s="3">
        <v>45113</v>
      </c>
      <c r="H76" s="4" t="s">
        <v>379</v>
      </c>
      <c r="I76" s="4" t="s">
        <v>4</v>
      </c>
      <c r="J76" s="4" t="str" cm="1">
        <f t="array" ref="J76">_xlfn.IFS(K76&gt;=50, "Senior", K76&gt;=30, "Adult", K76&lt;30,"Young Adult")</f>
        <v>Senior</v>
      </c>
      <c r="K76" s="4">
        <v>62</v>
      </c>
      <c r="L76" s="4" t="s">
        <v>6</v>
      </c>
      <c r="M76" s="4">
        <v>4</v>
      </c>
      <c r="N76" s="22">
        <v>50</v>
      </c>
      <c r="O76" s="24">
        <f>M76 * N76</f>
        <v>200</v>
      </c>
      <c r="P76" s="16">
        <f>O76 * $S$3</f>
        <v>3</v>
      </c>
      <c r="Q76" s="16">
        <f>O76 * $S$4</f>
        <v>4</v>
      </c>
    </row>
    <row r="77" spans="1:17">
      <c r="A77" s="2">
        <v>76</v>
      </c>
      <c r="B77" s="4">
        <f t="shared" si="5"/>
        <v>25</v>
      </c>
      <c r="C77" s="4">
        <f t="shared" si="6"/>
        <v>3</v>
      </c>
      <c r="D77" s="4">
        <f t="shared" si="7"/>
        <v>2023</v>
      </c>
      <c r="E77" s="4" t="str">
        <f t="shared" si="8"/>
        <v>Sat</v>
      </c>
      <c r="F77" s="4" t="str">
        <f t="shared" si="9"/>
        <v>Mar</v>
      </c>
      <c r="G77" s="3">
        <v>45010</v>
      </c>
      <c r="H77" s="4" t="s">
        <v>380</v>
      </c>
      <c r="I77" s="4" t="s">
        <v>3</v>
      </c>
      <c r="J77" s="4" t="str" cm="1">
        <f t="array" ref="J77">_xlfn.IFS(K77&gt;=50, "Senior", K77&gt;=30, "Adult", K77&lt;30,"Young Adult")</f>
        <v>Senior</v>
      </c>
      <c r="K77" s="4">
        <v>61</v>
      </c>
      <c r="L77" s="4" t="s">
        <v>8</v>
      </c>
      <c r="M77" s="4">
        <v>2</v>
      </c>
      <c r="N77" s="22">
        <v>50</v>
      </c>
      <c r="O77" s="24">
        <f>M77 * N77</f>
        <v>100</v>
      </c>
      <c r="P77" s="16">
        <f>O77 * $S$3</f>
        <v>1.5</v>
      </c>
      <c r="Q77" s="16">
        <f>O77 * $S$4</f>
        <v>2</v>
      </c>
    </row>
    <row r="78" spans="1:17">
      <c r="A78" s="2">
        <v>77</v>
      </c>
      <c r="B78" s="4">
        <f t="shared" si="5"/>
        <v>9</v>
      </c>
      <c r="C78" s="4">
        <f t="shared" si="6"/>
        <v>7</v>
      </c>
      <c r="D78" s="4">
        <f t="shared" si="7"/>
        <v>2023</v>
      </c>
      <c r="E78" s="4" t="str">
        <f t="shared" si="8"/>
        <v>Sun</v>
      </c>
      <c r="F78" s="4" t="str">
        <f t="shared" si="9"/>
        <v>Jul</v>
      </c>
      <c r="G78" s="3">
        <v>45116</v>
      </c>
      <c r="H78" s="4" t="s">
        <v>251</v>
      </c>
      <c r="I78" s="4" t="s">
        <v>3</v>
      </c>
      <c r="J78" s="4" t="str" cm="1">
        <f t="array" ref="J78">_xlfn.IFS(K78&gt;=50, "Senior", K78&gt;=30, "Adult", K78&lt;30,"Young Adult")</f>
        <v>Senior</v>
      </c>
      <c r="K78" s="4">
        <v>61</v>
      </c>
      <c r="L78" s="4" t="s">
        <v>7</v>
      </c>
      <c r="M78" s="4">
        <v>2</v>
      </c>
      <c r="N78" s="22">
        <v>50</v>
      </c>
      <c r="O78" s="24">
        <f>M78 * N78</f>
        <v>100</v>
      </c>
      <c r="P78" s="16">
        <f>O78 * $S$3</f>
        <v>1.5</v>
      </c>
      <c r="Q78" s="16">
        <f>O78 * $S$4</f>
        <v>2</v>
      </c>
    </row>
    <row r="79" spans="1:17">
      <c r="A79" s="2">
        <v>78</v>
      </c>
      <c r="B79" s="4">
        <f t="shared" si="5"/>
        <v>1</v>
      </c>
      <c r="C79" s="4">
        <f t="shared" si="6"/>
        <v>7</v>
      </c>
      <c r="D79" s="4">
        <f t="shared" si="7"/>
        <v>2023</v>
      </c>
      <c r="E79" s="4" t="str">
        <f t="shared" si="8"/>
        <v>Sat</v>
      </c>
      <c r="F79" s="4" t="str">
        <f t="shared" si="9"/>
        <v>Jul</v>
      </c>
      <c r="G79" s="3">
        <v>45108</v>
      </c>
      <c r="H79" s="4" t="s">
        <v>252</v>
      </c>
      <c r="I79" s="4" t="s">
        <v>3</v>
      </c>
      <c r="J79" s="4" t="str" cm="1">
        <f t="array" ref="J79">_xlfn.IFS(K79&gt;=50, "Senior", K79&gt;=30, "Adult", K79&lt;30,"Young Adult")</f>
        <v>Senior</v>
      </c>
      <c r="K79" s="4">
        <v>61</v>
      </c>
      <c r="L79" s="4" t="s">
        <v>7</v>
      </c>
      <c r="M79" s="4">
        <v>3</v>
      </c>
      <c r="N79" s="22">
        <v>500</v>
      </c>
      <c r="O79" s="24">
        <f>M79 * N79</f>
        <v>1500</v>
      </c>
      <c r="P79" s="16">
        <f>O79 * $S$3</f>
        <v>22.5</v>
      </c>
      <c r="Q79" s="16">
        <f>O79 * $S$4</f>
        <v>30</v>
      </c>
    </row>
    <row r="80" spans="1:17">
      <c r="A80" s="2">
        <v>79</v>
      </c>
      <c r="B80" s="4">
        <f t="shared" si="5"/>
        <v>18</v>
      </c>
      <c r="C80" s="4">
        <f t="shared" si="6"/>
        <v>4</v>
      </c>
      <c r="D80" s="4">
        <f t="shared" si="7"/>
        <v>2023</v>
      </c>
      <c r="E80" s="4" t="str">
        <f t="shared" si="8"/>
        <v>Tue</v>
      </c>
      <c r="F80" s="4" t="str">
        <f t="shared" si="9"/>
        <v>Apr</v>
      </c>
      <c r="G80" s="3">
        <v>45034</v>
      </c>
      <c r="H80" s="4" t="s">
        <v>123</v>
      </c>
      <c r="I80" s="4" t="s">
        <v>4</v>
      </c>
      <c r="J80" s="4" t="str" cm="1">
        <f t="array" ref="J80">_xlfn.IFS(K80&gt;=50, "Senior", K80&gt;=30, "Adult", K80&lt;30,"Young Adult")</f>
        <v>Senior</v>
      </c>
      <c r="K80" s="4">
        <v>61</v>
      </c>
      <c r="L80" s="4" t="s">
        <v>6</v>
      </c>
      <c r="M80" s="4">
        <v>1</v>
      </c>
      <c r="N80" s="22">
        <v>300</v>
      </c>
      <c r="O80" s="24">
        <f>M80 * N80</f>
        <v>300</v>
      </c>
      <c r="P80" s="16">
        <f>O80 * $S$3</f>
        <v>4.5</v>
      </c>
      <c r="Q80" s="16">
        <f>O80 * $S$4</f>
        <v>6</v>
      </c>
    </row>
    <row r="81" spans="1:17">
      <c r="A81" s="2">
        <v>80</v>
      </c>
      <c r="B81" s="4">
        <f t="shared" si="5"/>
        <v>10</v>
      </c>
      <c r="C81" s="4">
        <f t="shared" si="6"/>
        <v>12</v>
      </c>
      <c r="D81" s="4">
        <f t="shared" si="7"/>
        <v>2023</v>
      </c>
      <c r="E81" s="4" t="str">
        <f t="shared" si="8"/>
        <v>Sun</v>
      </c>
      <c r="F81" s="4" t="str">
        <f t="shared" si="9"/>
        <v>Dec</v>
      </c>
      <c r="G81" s="3">
        <v>45270</v>
      </c>
      <c r="H81" s="4" t="s">
        <v>381</v>
      </c>
      <c r="I81" s="4" t="s">
        <v>3</v>
      </c>
      <c r="J81" s="4" t="str" cm="1">
        <f t="array" ref="J81">_xlfn.IFS(K81&gt;=50, "Senior", K81&gt;=30, "Adult", K81&lt;30,"Young Adult")</f>
        <v>Senior</v>
      </c>
      <c r="K81" s="4">
        <v>61</v>
      </c>
      <c r="L81" s="4" t="s">
        <v>7</v>
      </c>
      <c r="M81" s="4">
        <v>2</v>
      </c>
      <c r="N81" s="22">
        <v>30</v>
      </c>
      <c r="O81" s="24">
        <f>M81 * N81</f>
        <v>60</v>
      </c>
      <c r="P81" s="16">
        <f>O81 * $S$3</f>
        <v>0.89999999999999991</v>
      </c>
      <c r="Q81" s="16">
        <f>O81 * $S$4</f>
        <v>1.2</v>
      </c>
    </row>
    <row r="82" spans="1:17">
      <c r="A82" s="2">
        <v>81</v>
      </c>
      <c r="B82" s="4">
        <f t="shared" si="5"/>
        <v>17</v>
      </c>
      <c r="C82" s="4">
        <f t="shared" si="6"/>
        <v>5</v>
      </c>
      <c r="D82" s="4">
        <f t="shared" si="7"/>
        <v>2023</v>
      </c>
      <c r="E82" s="4" t="str">
        <f t="shared" si="8"/>
        <v>Wed</v>
      </c>
      <c r="F82" s="4" t="str">
        <f t="shared" si="9"/>
        <v>May</v>
      </c>
      <c r="G82" s="3">
        <v>45063</v>
      </c>
      <c r="H82" s="4" t="s">
        <v>382</v>
      </c>
      <c r="I82" s="4" t="s">
        <v>4</v>
      </c>
      <c r="J82" s="4" t="str" cm="1">
        <f t="array" ref="J82">_xlfn.IFS(K82&gt;=50, "Senior", K82&gt;=30, "Adult", K82&lt;30,"Young Adult")</f>
        <v>Senior</v>
      </c>
      <c r="K82" s="4">
        <v>61</v>
      </c>
      <c r="L82" s="4" t="s">
        <v>8</v>
      </c>
      <c r="M82" s="4">
        <v>1</v>
      </c>
      <c r="N82" s="22">
        <v>50</v>
      </c>
      <c r="O82" s="24">
        <f>M82 * N82</f>
        <v>50</v>
      </c>
      <c r="P82" s="16">
        <f>O82 * $S$3</f>
        <v>0.75</v>
      </c>
      <c r="Q82" s="16">
        <f>O82 * $S$4</f>
        <v>1</v>
      </c>
    </row>
    <row r="83" spans="1:17">
      <c r="A83" s="2">
        <v>82</v>
      </c>
      <c r="B83" s="4">
        <f t="shared" si="5"/>
        <v>26</v>
      </c>
      <c r="C83" s="4">
        <f t="shared" si="6"/>
        <v>12</v>
      </c>
      <c r="D83" s="4">
        <f t="shared" si="7"/>
        <v>2023</v>
      </c>
      <c r="E83" s="4" t="str">
        <f t="shared" si="8"/>
        <v>Tue</v>
      </c>
      <c r="F83" s="4" t="str">
        <f t="shared" si="9"/>
        <v>Dec</v>
      </c>
      <c r="G83" s="3">
        <v>45286</v>
      </c>
      <c r="H83" s="4" t="s">
        <v>126</v>
      </c>
      <c r="I83" s="4" t="s">
        <v>3</v>
      </c>
      <c r="J83" s="4" t="str" cm="1">
        <f t="array" ref="J83">_xlfn.IFS(K83&gt;=50, "Senior", K83&gt;=30, "Adult", K83&lt;30,"Young Adult")</f>
        <v>Senior</v>
      </c>
      <c r="K83" s="4">
        <v>61</v>
      </c>
      <c r="L83" s="4" t="s">
        <v>6</v>
      </c>
      <c r="M83" s="4">
        <v>4</v>
      </c>
      <c r="N83" s="22">
        <v>50</v>
      </c>
      <c r="O83" s="24">
        <f>M83 * N83</f>
        <v>200</v>
      </c>
      <c r="P83" s="16">
        <f>O83 * $S$3</f>
        <v>3</v>
      </c>
      <c r="Q83" s="16">
        <f>O83 * $S$4</f>
        <v>4</v>
      </c>
    </row>
    <row r="84" spans="1:17">
      <c r="A84" s="2">
        <v>83</v>
      </c>
      <c r="B84" s="4">
        <f t="shared" si="5"/>
        <v>16</v>
      </c>
      <c r="C84" s="4">
        <f t="shared" si="6"/>
        <v>12</v>
      </c>
      <c r="D84" s="4">
        <f t="shared" si="7"/>
        <v>2023</v>
      </c>
      <c r="E84" s="4" t="str">
        <f t="shared" si="8"/>
        <v>Sat</v>
      </c>
      <c r="F84" s="4" t="str">
        <f t="shared" si="9"/>
        <v>Dec</v>
      </c>
      <c r="G84" s="3">
        <v>45276</v>
      </c>
      <c r="H84" s="4" t="s">
        <v>383</v>
      </c>
      <c r="I84" s="4" t="s">
        <v>4</v>
      </c>
      <c r="J84" s="4" t="str" cm="1">
        <f t="array" ref="J84">_xlfn.IFS(K84&gt;=50, "Senior", K84&gt;=30, "Adult", K84&lt;30,"Young Adult")</f>
        <v>Senior</v>
      </c>
      <c r="K84" s="4">
        <v>61</v>
      </c>
      <c r="L84" s="4" t="s">
        <v>8</v>
      </c>
      <c r="M84" s="4">
        <v>2</v>
      </c>
      <c r="N84" s="22">
        <v>50</v>
      </c>
      <c r="O84" s="24">
        <f>M84 * N84</f>
        <v>100</v>
      </c>
      <c r="P84" s="16">
        <f>O84 * $S$3</f>
        <v>1.5</v>
      </c>
      <c r="Q84" s="16">
        <f>O84 * $S$4</f>
        <v>2</v>
      </c>
    </row>
    <row r="85" spans="1:17">
      <c r="A85" s="2">
        <v>84</v>
      </c>
      <c r="B85" s="4">
        <f t="shared" si="5"/>
        <v>28</v>
      </c>
      <c r="C85" s="4">
        <f t="shared" si="6"/>
        <v>11</v>
      </c>
      <c r="D85" s="4">
        <f t="shared" si="7"/>
        <v>2023</v>
      </c>
      <c r="E85" s="4" t="str">
        <f t="shared" si="8"/>
        <v>Tue</v>
      </c>
      <c r="F85" s="4" t="str">
        <f t="shared" si="9"/>
        <v>Nov</v>
      </c>
      <c r="G85" s="3">
        <v>45258</v>
      </c>
      <c r="H85" s="4" t="s">
        <v>384</v>
      </c>
      <c r="I85" s="4" t="s">
        <v>3</v>
      </c>
      <c r="J85" s="4" t="str" cm="1">
        <f t="array" ref="J85">_xlfn.IFS(K85&gt;=50, "Senior", K85&gt;=30, "Adult", K85&lt;30,"Young Adult")</f>
        <v>Senior</v>
      </c>
      <c r="K85" s="4">
        <v>61</v>
      </c>
      <c r="L85" s="4" t="s">
        <v>8</v>
      </c>
      <c r="M85" s="4">
        <v>3</v>
      </c>
      <c r="N85" s="22">
        <v>30</v>
      </c>
      <c r="O85" s="24">
        <f>M85 * N85</f>
        <v>90</v>
      </c>
      <c r="P85" s="16">
        <f>O85 * $S$3</f>
        <v>1.3499999999999999</v>
      </c>
      <c r="Q85" s="16">
        <f>O85 * $S$4</f>
        <v>1.8</v>
      </c>
    </row>
    <row r="86" spans="1:17">
      <c r="A86" s="2">
        <v>85</v>
      </c>
      <c r="B86" s="4">
        <f t="shared" si="5"/>
        <v>6</v>
      </c>
      <c r="C86" s="4">
        <f t="shared" si="6"/>
        <v>2</v>
      </c>
      <c r="D86" s="4">
        <f t="shared" si="7"/>
        <v>2023</v>
      </c>
      <c r="E86" s="4" t="str">
        <f t="shared" si="8"/>
        <v>Mon</v>
      </c>
      <c r="F86" s="4" t="str">
        <f t="shared" si="9"/>
        <v>Feb</v>
      </c>
      <c r="G86" s="3">
        <v>44963</v>
      </c>
      <c r="H86" s="4" t="s">
        <v>259</v>
      </c>
      <c r="I86" s="4" t="s">
        <v>4</v>
      </c>
      <c r="J86" s="4" t="str" cm="1">
        <f t="array" ref="J86">_xlfn.IFS(K86&gt;=50, "Senior", K86&gt;=30, "Adult", K86&lt;30,"Young Adult")</f>
        <v>Senior</v>
      </c>
      <c r="K86" s="4">
        <v>61</v>
      </c>
      <c r="L86" s="4" t="s">
        <v>7</v>
      </c>
      <c r="M86" s="4">
        <v>3</v>
      </c>
      <c r="N86" s="22">
        <v>50</v>
      </c>
      <c r="O86" s="24">
        <f>M86 * N86</f>
        <v>150</v>
      </c>
      <c r="P86" s="16">
        <f>O86 * $S$3</f>
        <v>2.25</v>
      </c>
      <c r="Q86" s="16">
        <f>O86 * $S$4</f>
        <v>3</v>
      </c>
    </row>
    <row r="87" spans="1:17">
      <c r="A87" s="2">
        <v>86</v>
      </c>
      <c r="B87" s="4">
        <f t="shared" si="5"/>
        <v>8</v>
      </c>
      <c r="C87" s="4">
        <f t="shared" si="6"/>
        <v>11</v>
      </c>
      <c r="D87" s="4">
        <f t="shared" si="7"/>
        <v>2023</v>
      </c>
      <c r="E87" s="4" t="str">
        <f t="shared" si="8"/>
        <v>Wed</v>
      </c>
      <c r="F87" s="4" t="str">
        <f t="shared" si="9"/>
        <v>Nov</v>
      </c>
      <c r="G87" s="3">
        <v>45238</v>
      </c>
      <c r="H87" s="4" t="s">
        <v>385</v>
      </c>
      <c r="I87" s="4" t="s">
        <v>4</v>
      </c>
      <c r="J87" s="4" t="str" cm="1">
        <f t="array" ref="J87">_xlfn.IFS(K87&gt;=50, "Senior", K87&gt;=30, "Adult", K87&lt;30,"Young Adult")</f>
        <v>Senior</v>
      </c>
      <c r="K87" s="4">
        <v>61</v>
      </c>
      <c r="L87" s="4" t="s">
        <v>6</v>
      </c>
      <c r="M87" s="4">
        <v>3</v>
      </c>
      <c r="N87" s="22">
        <v>30</v>
      </c>
      <c r="O87" s="24">
        <f>M87 * N87</f>
        <v>90</v>
      </c>
      <c r="P87" s="16">
        <f>O87 * $S$3</f>
        <v>1.3499999999999999</v>
      </c>
      <c r="Q87" s="16">
        <f>O87 * $S$4</f>
        <v>1.8</v>
      </c>
    </row>
    <row r="88" spans="1:17">
      <c r="A88" s="2">
        <v>87</v>
      </c>
      <c r="B88" s="4">
        <f t="shared" si="5"/>
        <v>22</v>
      </c>
      <c r="C88" s="4">
        <f t="shared" si="6"/>
        <v>11</v>
      </c>
      <c r="D88" s="4">
        <f t="shared" si="7"/>
        <v>2023</v>
      </c>
      <c r="E88" s="4" t="str">
        <f t="shared" si="8"/>
        <v>Wed</v>
      </c>
      <c r="F88" s="4" t="str">
        <f t="shared" si="9"/>
        <v>Nov</v>
      </c>
      <c r="G88" s="3">
        <v>45252</v>
      </c>
      <c r="H88" s="4" t="s">
        <v>386</v>
      </c>
      <c r="I88" s="4" t="s">
        <v>3</v>
      </c>
      <c r="J88" s="4" t="str" cm="1">
        <f t="array" ref="J88">_xlfn.IFS(K88&gt;=50, "Senior", K88&gt;=30, "Adult", K88&lt;30,"Young Adult")</f>
        <v>Senior</v>
      </c>
      <c r="K88" s="4">
        <v>61</v>
      </c>
      <c r="L88" s="4" t="s">
        <v>6</v>
      </c>
      <c r="M88" s="4">
        <v>2</v>
      </c>
      <c r="N88" s="22">
        <v>50</v>
      </c>
      <c r="O88" s="24">
        <f>M88 * N88</f>
        <v>100</v>
      </c>
      <c r="P88" s="16">
        <f>O88 * $S$3</f>
        <v>1.5</v>
      </c>
      <c r="Q88" s="16">
        <f>O88 * $S$4</f>
        <v>2</v>
      </c>
    </row>
    <row r="89" spans="1:17">
      <c r="A89" s="2">
        <v>88</v>
      </c>
      <c r="B89" s="4">
        <f t="shared" si="5"/>
        <v>29</v>
      </c>
      <c r="C89" s="4">
        <f t="shared" si="6"/>
        <v>3</v>
      </c>
      <c r="D89" s="4">
        <f t="shared" si="7"/>
        <v>2023</v>
      </c>
      <c r="E89" s="4" t="str">
        <f t="shared" si="8"/>
        <v>Wed</v>
      </c>
      <c r="F89" s="4" t="str">
        <f t="shared" si="9"/>
        <v>Mar</v>
      </c>
      <c r="G89" s="3">
        <v>45014</v>
      </c>
      <c r="H89" s="4" t="s">
        <v>387</v>
      </c>
      <c r="I89" s="4" t="s">
        <v>4</v>
      </c>
      <c r="J89" s="4" t="str" cm="1">
        <f t="array" ref="J89">_xlfn.IFS(K89&gt;=50, "Senior", K89&gt;=30, "Adult", K89&lt;30,"Young Adult")</f>
        <v>Senior</v>
      </c>
      <c r="K89" s="4">
        <v>61</v>
      </c>
      <c r="L89" s="4" t="s">
        <v>7</v>
      </c>
      <c r="M89" s="4">
        <v>1</v>
      </c>
      <c r="N89" s="22">
        <v>500</v>
      </c>
      <c r="O89" s="24">
        <f>M89 * N89</f>
        <v>500</v>
      </c>
      <c r="P89" s="16">
        <f>O89 * $S$3</f>
        <v>7.5</v>
      </c>
      <c r="Q89" s="16">
        <f>O89 * $S$4</f>
        <v>10</v>
      </c>
    </row>
    <row r="90" spans="1:17">
      <c r="A90" s="2">
        <v>89</v>
      </c>
      <c r="B90" s="4">
        <f t="shared" si="5"/>
        <v>1</v>
      </c>
      <c r="C90" s="4">
        <f t="shared" si="6"/>
        <v>10</v>
      </c>
      <c r="D90" s="4">
        <f t="shared" si="7"/>
        <v>2023</v>
      </c>
      <c r="E90" s="4" t="str">
        <f t="shared" si="8"/>
        <v>Sun</v>
      </c>
      <c r="F90" s="4" t="str">
        <f t="shared" si="9"/>
        <v>Oct</v>
      </c>
      <c r="G90" s="3">
        <v>45200</v>
      </c>
      <c r="H90" s="4" t="s">
        <v>388</v>
      </c>
      <c r="I90" s="4" t="s">
        <v>3</v>
      </c>
      <c r="J90" s="4" t="str" cm="1">
        <f t="array" ref="J90">_xlfn.IFS(K90&gt;=50, "Senior", K90&gt;=30, "Adult", K90&lt;30,"Young Adult")</f>
        <v>Senior</v>
      </c>
      <c r="K90" s="4">
        <v>61</v>
      </c>
      <c r="L90" s="4" t="s">
        <v>8</v>
      </c>
      <c r="M90" s="4">
        <v>4</v>
      </c>
      <c r="N90" s="22">
        <v>500</v>
      </c>
      <c r="O90" s="24">
        <f>M90 * N90</f>
        <v>2000</v>
      </c>
      <c r="P90" s="16">
        <f>O90 * $S$3</f>
        <v>30</v>
      </c>
      <c r="Q90" s="16">
        <f>O90 * $S$4</f>
        <v>40</v>
      </c>
    </row>
    <row r="91" spans="1:17">
      <c r="A91" s="2">
        <v>90</v>
      </c>
      <c r="B91" s="4">
        <f t="shared" si="5"/>
        <v>6</v>
      </c>
      <c r="C91" s="4">
        <f t="shared" si="6"/>
        <v>5</v>
      </c>
      <c r="D91" s="4">
        <f t="shared" si="7"/>
        <v>2023</v>
      </c>
      <c r="E91" s="4" t="str">
        <f t="shared" si="8"/>
        <v>Sat</v>
      </c>
      <c r="F91" s="4" t="str">
        <f t="shared" si="9"/>
        <v>May</v>
      </c>
      <c r="G91" s="3">
        <v>45052</v>
      </c>
      <c r="H91" s="4" t="s">
        <v>389</v>
      </c>
      <c r="I91" s="4" t="s">
        <v>3</v>
      </c>
      <c r="J91" s="4" t="str" cm="1">
        <f t="array" ref="J91">_xlfn.IFS(K91&gt;=50, "Senior", K91&gt;=30, "Adult", K91&lt;30,"Young Adult")</f>
        <v>Senior</v>
      </c>
      <c r="K91" s="4">
        <v>61</v>
      </c>
      <c r="L91" s="4" t="s">
        <v>8</v>
      </c>
      <c r="M91" s="4">
        <v>1</v>
      </c>
      <c r="N91" s="22">
        <v>30</v>
      </c>
      <c r="O91" s="24">
        <f>M91 * N91</f>
        <v>30</v>
      </c>
      <c r="P91" s="16">
        <f>O91 * $S$3</f>
        <v>0.44999999999999996</v>
      </c>
      <c r="Q91" s="16">
        <f>O91 * $S$4</f>
        <v>0.6</v>
      </c>
    </row>
    <row r="92" spans="1:17">
      <c r="A92" s="2">
        <v>91</v>
      </c>
      <c r="B92" s="4">
        <f t="shared" si="5"/>
        <v>25</v>
      </c>
      <c r="C92" s="4">
        <f t="shared" si="6"/>
        <v>3</v>
      </c>
      <c r="D92" s="4">
        <f t="shared" si="7"/>
        <v>2023</v>
      </c>
      <c r="E92" s="4" t="str">
        <f t="shared" si="8"/>
        <v>Sat</v>
      </c>
      <c r="F92" s="4" t="str">
        <f t="shared" si="9"/>
        <v>Mar</v>
      </c>
      <c r="G92" s="3">
        <v>45010</v>
      </c>
      <c r="H92" s="4" t="s">
        <v>390</v>
      </c>
      <c r="I92" s="4" t="s">
        <v>3</v>
      </c>
      <c r="J92" s="4" t="str" cm="1">
        <f t="array" ref="J92">_xlfn.IFS(K92&gt;=50, "Senior", K92&gt;=30, "Adult", K92&lt;30,"Young Adult")</f>
        <v>Senior</v>
      </c>
      <c r="K92" s="4">
        <v>61</v>
      </c>
      <c r="L92" s="4" t="s">
        <v>8</v>
      </c>
      <c r="M92" s="4">
        <v>1</v>
      </c>
      <c r="N92" s="22">
        <v>500</v>
      </c>
      <c r="O92" s="24">
        <f>M92 * N92</f>
        <v>500</v>
      </c>
      <c r="P92" s="16">
        <f>O92 * $S$3</f>
        <v>7.5</v>
      </c>
      <c r="Q92" s="16">
        <f>O92 * $S$4</f>
        <v>10</v>
      </c>
    </row>
    <row r="93" spans="1:17">
      <c r="A93" s="2">
        <v>92</v>
      </c>
      <c r="B93" s="4">
        <f t="shared" si="5"/>
        <v>25</v>
      </c>
      <c r="C93" s="4">
        <f t="shared" si="6"/>
        <v>8</v>
      </c>
      <c r="D93" s="4">
        <f t="shared" si="7"/>
        <v>2023</v>
      </c>
      <c r="E93" s="4" t="str">
        <f t="shared" si="8"/>
        <v>Fri</v>
      </c>
      <c r="F93" s="4" t="str">
        <f t="shared" si="9"/>
        <v>Aug</v>
      </c>
      <c r="G93" s="3">
        <v>45163</v>
      </c>
      <c r="H93" s="4" t="s">
        <v>391</v>
      </c>
      <c r="I93" s="4" t="s">
        <v>3</v>
      </c>
      <c r="J93" s="4" t="str" cm="1">
        <f t="array" ref="J93">_xlfn.IFS(K93&gt;=50, "Senior", K93&gt;=30, "Adult", K93&lt;30,"Young Adult")</f>
        <v>Senior</v>
      </c>
      <c r="K93" s="4">
        <v>61</v>
      </c>
      <c r="L93" s="4" t="s">
        <v>8</v>
      </c>
      <c r="M93" s="4">
        <v>4</v>
      </c>
      <c r="N93" s="22">
        <v>30</v>
      </c>
      <c r="O93" s="24">
        <f>M93 * N93</f>
        <v>120</v>
      </c>
      <c r="P93" s="16">
        <f>O93 * $S$3</f>
        <v>1.7999999999999998</v>
      </c>
      <c r="Q93" s="16">
        <f>O93 * $S$4</f>
        <v>2.4</v>
      </c>
    </row>
    <row r="94" spans="1:17">
      <c r="A94" s="2">
        <v>93</v>
      </c>
      <c r="B94" s="4">
        <f t="shared" si="5"/>
        <v>14</v>
      </c>
      <c r="C94" s="4">
        <f t="shared" si="6"/>
        <v>7</v>
      </c>
      <c r="D94" s="4">
        <f t="shared" si="7"/>
        <v>2023</v>
      </c>
      <c r="E94" s="4" t="str">
        <f t="shared" si="8"/>
        <v>Fri</v>
      </c>
      <c r="F94" s="4" t="str">
        <f t="shared" si="9"/>
        <v>Jul</v>
      </c>
      <c r="G94" s="3">
        <v>45121</v>
      </c>
      <c r="H94" s="4" t="s">
        <v>137</v>
      </c>
      <c r="I94" s="4" t="s">
        <v>3</v>
      </c>
      <c r="J94" s="4" t="str" cm="1">
        <f t="array" ref="J94">_xlfn.IFS(K94&gt;=50, "Senior", K94&gt;=30, "Adult", K94&lt;30,"Young Adult")</f>
        <v>Senior</v>
      </c>
      <c r="K94" s="4">
        <v>61</v>
      </c>
      <c r="L94" s="4" t="s">
        <v>6</v>
      </c>
      <c r="M94" s="4">
        <v>4</v>
      </c>
      <c r="N94" s="22">
        <v>500</v>
      </c>
      <c r="O94" s="24">
        <f>M94 * N94</f>
        <v>2000</v>
      </c>
      <c r="P94" s="16">
        <f>O94 * $S$3</f>
        <v>30</v>
      </c>
      <c r="Q94" s="16">
        <f>O94 * $S$4</f>
        <v>40</v>
      </c>
    </row>
    <row r="95" spans="1:17">
      <c r="A95" s="2">
        <v>94</v>
      </c>
      <c r="B95" s="4">
        <f t="shared" si="5"/>
        <v>19</v>
      </c>
      <c r="C95" s="4">
        <f t="shared" si="6"/>
        <v>5</v>
      </c>
      <c r="D95" s="4">
        <f t="shared" si="7"/>
        <v>2023</v>
      </c>
      <c r="E95" s="4" t="str">
        <f t="shared" si="8"/>
        <v>Fri</v>
      </c>
      <c r="F95" s="4" t="str">
        <f t="shared" si="9"/>
        <v>May</v>
      </c>
      <c r="G95" s="3">
        <v>45065</v>
      </c>
      <c r="H95" s="4" t="s">
        <v>138</v>
      </c>
      <c r="I95" s="4" t="s">
        <v>3</v>
      </c>
      <c r="J95" s="4" t="str" cm="1">
        <f t="array" ref="J95">_xlfn.IFS(K95&gt;=50, "Senior", K95&gt;=30, "Adult", K95&lt;30,"Young Adult")</f>
        <v>Senior</v>
      </c>
      <c r="K95" s="4">
        <v>60</v>
      </c>
      <c r="L95" s="4" t="s">
        <v>6</v>
      </c>
      <c r="M95" s="4">
        <v>2</v>
      </c>
      <c r="N95" s="22">
        <v>500</v>
      </c>
      <c r="O95" s="24">
        <f>M95 * N95</f>
        <v>1000</v>
      </c>
      <c r="P95" s="16">
        <f>O95 * $S$3</f>
        <v>15</v>
      </c>
      <c r="Q95" s="16">
        <f>O95 * $S$4</f>
        <v>20</v>
      </c>
    </row>
    <row r="96" spans="1:17">
      <c r="A96" s="2">
        <v>95</v>
      </c>
      <c r="B96" s="4">
        <f t="shared" si="5"/>
        <v>24</v>
      </c>
      <c r="C96" s="4">
        <f t="shared" si="6"/>
        <v>11</v>
      </c>
      <c r="D96" s="4">
        <f t="shared" si="7"/>
        <v>2023</v>
      </c>
      <c r="E96" s="4" t="str">
        <f t="shared" si="8"/>
        <v>Fri</v>
      </c>
      <c r="F96" s="4" t="str">
        <f t="shared" si="9"/>
        <v>Nov</v>
      </c>
      <c r="G96" s="3">
        <v>45254</v>
      </c>
      <c r="H96" s="4" t="s">
        <v>269</v>
      </c>
      <c r="I96" s="4" t="s">
        <v>3</v>
      </c>
      <c r="J96" s="4" t="str" cm="1">
        <f t="array" ref="J96">_xlfn.IFS(K96&gt;=50, "Senior", K96&gt;=30, "Adult", K96&lt;30,"Young Adult")</f>
        <v>Senior</v>
      </c>
      <c r="K96" s="4">
        <v>60</v>
      </c>
      <c r="L96" s="4" t="s">
        <v>7</v>
      </c>
      <c r="M96" s="4">
        <v>2</v>
      </c>
      <c r="N96" s="22">
        <v>30</v>
      </c>
      <c r="O96" s="24">
        <f>M96 * N96</f>
        <v>60</v>
      </c>
      <c r="P96" s="16">
        <f>O96 * $S$3</f>
        <v>0.89999999999999991</v>
      </c>
      <c r="Q96" s="16">
        <f>O96 * $S$4</f>
        <v>1.2</v>
      </c>
    </row>
    <row r="97" spans="1:17">
      <c r="A97" s="2">
        <v>96</v>
      </c>
      <c r="B97" s="4">
        <f t="shared" si="5"/>
        <v>19</v>
      </c>
      <c r="C97" s="4">
        <f t="shared" si="6"/>
        <v>12</v>
      </c>
      <c r="D97" s="4">
        <f t="shared" si="7"/>
        <v>2023</v>
      </c>
      <c r="E97" s="4" t="str">
        <f t="shared" si="8"/>
        <v>Tue</v>
      </c>
      <c r="F97" s="4" t="str">
        <f t="shared" si="9"/>
        <v>Dec</v>
      </c>
      <c r="G97" s="3">
        <v>45279</v>
      </c>
      <c r="H97" s="4" t="s">
        <v>270</v>
      </c>
      <c r="I97" s="4" t="s">
        <v>3</v>
      </c>
      <c r="J97" s="4" t="str" cm="1">
        <f t="array" ref="J97">_xlfn.IFS(K97&gt;=50, "Senior", K97&gt;=30, "Adult", K97&lt;30,"Young Adult")</f>
        <v>Senior</v>
      </c>
      <c r="K97" s="4">
        <v>60</v>
      </c>
      <c r="L97" s="4" t="s">
        <v>7</v>
      </c>
      <c r="M97" s="4">
        <v>2</v>
      </c>
      <c r="N97" s="22">
        <v>300</v>
      </c>
      <c r="O97" s="24">
        <f>M97 * N97</f>
        <v>600</v>
      </c>
      <c r="P97" s="16">
        <f>O97 * $S$3</f>
        <v>9</v>
      </c>
      <c r="Q97" s="16">
        <f>O97 * $S$4</f>
        <v>12</v>
      </c>
    </row>
    <row r="98" spans="1:17">
      <c r="A98" s="2">
        <v>97</v>
      </c>
      <c r="B98" s="4">
        <f t="shared" si="5"/>
        <v>13</v>
      </c>
      <c r="C98" s="4">
        <f t="shared" si="6"/>
        <v>10</v>
      </c>
      <c r="D98" s="4">
        <f t="shared" si="7"/>
        <v>2023</v>
      </c>
      <c r="E98" s="4" t="str">
        <f t="shared" si="8"/>
        <v>Fri</v>
      </c>
      <c r="F98" s="4" t="str">
        <f t="shared" si="9"/>
        <v>Oct</v>
      </c>
      <c r="G98" s="3">
        <v>45212</v>
      </c>
      <c r="H98" s="4" t="s">
        <v>392</v>
      </c>
      <c r="I98" s="4" t="s">
        <v>3</v>
      </c>
      <c r="J98" s="4" t="str" cm="1">
        <f t="array" ref="J98">_xlfn.IFS(K98&gt;=50, "Senior", K98&gt;=30, "Adult", K98&lt;30,"Young Adult")</f>
        <v>Senior</v>
      </c>
      <c r="K98" s="4">
        <v>60</v>
      </c>
      <c r="L98" s="4" t="s">
        <v>6</v>
      </c>
      <c r="M98" s="4">
        <v>2</v>
      </c>
      <c r="N98" s="22">
        <v>500</v>
      </c>
      <c r="O98" s="24">
        <f>M98 * N98</f>
        <v>1000</v>
      </c>
      <c r="P98" s="16">
        <f>O98 * $S$3</f>
        <v>15</v>
      </c>
      <c r="Q98" s="16">
        <f>O98 * $S$4</f>
        <v>20</v>
      </c>
    </row>
    <row r="99" spans="1:17">
      <c r="A99" s="2">
        <v>98</v>
      </c>
      <c r="B99" s="4">
        <f t="shared" si="5"/>
        <v>23</v>
      </c>
      <c r="C99" s="4">
        <f t="shared" si="6"/>
        <v>4</v>
      </c>
      <c r="D99" s="4">
        <f t="shared" si="7"/>
        <v>2023</v>
      </c>
      <c r="E99" s="4" t="str">
        <f t="shared" si="8"/>
        <v>Sun</v>
      </c>
      <c r="F99" s="4" t="str">
        <f t="shared" si="9"/>
        <v>Apr</v>
      </c>
      <c r="G99" s="3">
        <v>45039</v>
      </c>
      <c r="H99" s="4" t="s">
        <v>393</v>
      </c>
      <c r="I99" s="4" t="s">
        <v>3</v>
      </c>
      <c r="J99" s="4" t="str" cm="1">
        <f t="array" ref="J99">_xlfn.IFS(K99&gt;=50, "Senior", K99&gt;=30, "Adult", K99&lt;30,"Young Adult")</f>
        <v>Senior</v>
      </c>
      <c r="K99" s="4">
        <v>60</v>
      </c>
      <c r="L99" s="4" t="s">
        <v>6</v>
      </c>
      <c r="M99" s="4">
        <v>2</v>
      </c>
      <c r="N99" s="22">
        <v>50</v>
      </c>
      <c r="O99" s="24">
        <f>M99 * N99</f>
        <v>100</v>
      </c>
      <c r="P99" s="16">
        <f>O99 * $S$3</f>
        <v>1.5</v>
      </c>
      <c r="Q99" s="16">
        <f>O99 * $S$4</f>
        <v>2</v>
      </c>
    </row>
    <row r="100" spans="1:17">
      <c r="A100" s="2">
        <v>99</v>
      </c>
      <c r="B100" s="4">
        <f t="shared" si="5"/>
        <v>17</v>
      </c>
      <c r="C100" s="4">
        <f t="shared" si="6"/>
        <v>12</v>
      </c>
      <c r="D100" s="4">
        <f t="shared" si="7"/>
        <v>2023</v>
      </c>
      <c r="E100" s="4" t="str">
        <f t="shared" si="8"/>
        <v>Sun</v>
      </c>
      <c r="F100" s="4" t="str">
        <f t="shared" si="9"/>
        <v>Dec</v>
      </c>
      <c r="G100" s="3">
        <v>45277</v>
      </c>
      <c r="H100" s="4" t="s">
        <v>394</v>
      </c>
      <c r="I100" s="4" t="s">
        <v>3</v>
      </c>
      <c r="J100" s="4" t="str" cm="1">
        <f t="array" ref="J100">_xlfn.IFS(K100&gt;=50, "Senior", K100&gt;=30, "Adult", K100&lt;30,"Young Adult")</f>
        <v>Senior</v>
      </c>
      <c r="K100" s="4">
        <v>60</v>
      </c>
      <c r="L100" s="4" t="s">
        <v>8</v>
      </c>
      <c r="M100" s="4">
        <v>4</v>
      </c>
      <c r="N100" s="22">
        <v>300</v>
      </c>
      <c r="O100" s="24">
        <f>M100 * N100</f>
        <v>1200</v>
      </c>
      <c r="P100" s="16">
        <f>O100 * $S$3</f>
        <v>18</v>
      </c>
      <c r="Q100" s="16">
        <f>O100 * $S$4</f>
        <v>24</v>
      </c>
    </row>
    <row r="101" spans="1:17">
      <c r="A101" s="2">
        <v>100</v>
      </c>
      <c r="B101" s="4">
        <f t="shared" si="5"/>
        <v>16</v>
      </c>
      <c r="C101" s="4">
        <f t="shared" si="6"/>
        <v>6</v>
      </c>
      <c r="D101" s="4">
        <f t="shared" si="7"/>
        <v>2023</v>
      </c>
      <c r="E101" s="4" t="str">
        <f t="shared" si="8"/>
        <v>Fri</v>
      </c>
      <c r="F101" s="4" t="str">
        <f t="shared" si="9"/>
        <v>Jun</v>
      </c>
      <c r="G101" s="3">
        <v>45093</v>
      </c>
      <c r="H101" s="4" t="s">
        <v>395</v>
      </c>
      <c r="I101" s="4" t="s">
        <v>4</v>
      </c>
      <c r="J101" s="4" t="str" cm="1">
        <f t="array" ref="J101">_xlfn.IFS(K101&gt;=50, "Senior", K101&gt;=30, "Adult", K101&lt;30,"Young Adult")</f>
        <v>Senior</v>
      </c>
      <c r="K101" s="4">
        <v>60</v>
      </c>
      <c r="L101" s="4" t="s">
        <v>8</v>
      </c>
      <c r="M101" s="4">
        <v>1</v>
      </c>
      <c r="N101" s="22">
        <v>30</v>
      </c>
      <c r="O101" s="24">
        <f>M101 * N101</f>
        <v>30</v>
      </c>
      <c r="P101" s="16">
        <f>O101 * $S$3</f>
        <v>0.44999999999999996</v>
      </c>
      <c r="Q101" s="16">
        <f>O101 * $S$4</f>
        <v>0.6</v>
      </c>
    </row>
    <row r="102" spans="1:17">
      <c r="A102" s="2">
        <v>101</v>
      </c>
      <c r="B102" s="4">
        <f t="shared" si="5"/>
        <v>29</v>
      </c>
      <c r="C102" s="4">
        <f t="shared" si="6"/>
        <v>1</v>
      </c>
      <c r="D102" s="4">
        <f t="shared" si="7"/>
        <v>2023</v>
      </c>
      <c r="E102" s="4" t="str">
        <f t="shared" si="8"/>
        <v>Sun</v>
      </c>
      <c r="F102" s="4" t="str">
        <f t="shared" si="9"/>
        <v>Jan</v>
      </c>
      <c r="G102" s="3">
        <v>44955</v>
      </c>
      <c r="H102" s="4" t="s">
        <v>275</v>
      </c>
      <c r="I102" s="4" t="s">
        <v>4</v>
      </c>
      <c r="J102" s="4" t="str" cm="1">
        <f t="array" ref="J102">_xlfn.IFS(K102&gt;=50, "Senior", K102&gt;=30, "Adult", K102&lt;30,"Young Adult")</f>
        <v>Senior</v>
      </c>
      <c r="K102" s="4">
        <v>60</v>
      </c>
      <c r="L102" s="4" t="s">
        <v>7</v>
      </c>
      <c r="M102" s="4">
        <v>2</v>
      </c>
      <c r="N102" s="22">
        <v>300</v>
      </c>
      <c r="O102" s="24">
        <f>M102 * N102</f>
        <v>600</v>
      </c>
      <c r="P102" s="16">
        <f>O102 * $S$3</f>
        <v>9</v>
      </c>
      <c r="Q102" s="16">
        <f>O102 * $S$4</f>
        <v>12</v>
      </c>
    </row>
    <row r="103" spans="1:17">
      <c r="A103" s="2">
        <v>102</v>
      </c>
      <c r="B103" s="4">
        <f t="shared" si="5"/>
        <v>28</v>
      </c>
      <c r="C103" s="4">
        <f t="shared" si="6"/>
        <v>4</v>
      </c>
      <c r="D103" s="4">
        <f t="shared" si="7"/>
        <v>2023</v>
      </c>
      <c r="E103" s="4" t="str">
        <f t="shared" si="8"/>
        <v>Fri</v>
      </c>
      <c r="F103" s="4" t="str">
        <f t="shared" si="9"/>
        <v>Apr</v>
      </c>
      <c r="G103" s="3">
        <v>45044</v>
      </c>
      <c r="H103" s="4" t="s">
        <v>146</v>
      </c>
      <c r="I103" s="4" t="s">
        <v>3</v>
      </c>
      <c r="J103" s="4" t="str" cm="1">
        <f t="array" ref="J103">_xlfn.IFS(K103&gt;=50, "Senior", K103&gt;=30, "Adult", K103&lt;30,"Young Adult")</f>
        <v>Senior</v>
      </c>
      <c r="K103" s="4">
        <v>60</v>
      </c>
      <c r="L103" s="4" t="s">
        <v>6</v>
      </c>
      <c r="M103" s="4">
        <v>2</v>
      </c>
      <c r="N103" s="22">
        <v>25</v>
      </c>
      <c r="O103" s="24">
        <f>M103 * N103</f>
        <v>50</v>
      </c>
      <c r="P103" s="16">
        <f>O103 * $S$3</f>
        <v>0.75</v>
      </c>
      <c r="Q103" s="16">
        <f>O103 * $S$4</f>
        <v>1</v>
      </c>
    </row>
    <row r="104" spans="1:17">
      <c r="A104" s="2">
        <v>103</v>
      </c>
      <c r="B104" s="4">
        <f t="shared" si="5"/>
        <v>17</v>
      </c>
      <c r="C104" s="4">
        <f t="shared" si="6"/>
        <v>1</v>
      </c>
      <c r="D104" s="4">
        <f t="shared" si="7"/>
        <v>2023</v>
      </c>
      <c r="E104" s="4" t="str">
        <f t="shared" si="8"/>
        <v>Tue</v>
      </c>
      <c r="F104" s="4" t="str">
        <f t="shared" si="9"/>
        <v>Jan</v>
      </c>
      <c r="G104" s="3">
        <v>44943</v>
      </c>
      <c r="H104" s="4" t="s">
        <v>396</v>
      </c>
      <c r="I104" s="4" t="s">
        <v>3</v>
      </c>
      <c r="J104" s="4" t="str" cm="1">
        <f t="array" ref="J104">_xlfn.IFS(K104&gt;=50, "Senior", K104&gt;=30, "Adult", K104&lt;30,"Young Adult")</f>
        <v>Senior</v>
      </c>
      <c r="K104" s="4">
        <v>60</v>
      </c>
      <c r="L104" s="4" t="s">
        <v>7</v>
      </c>
      <c r="M104" s="4">
        <v>1</v>
      </c>
      <c r="N104" s="22">
        <v>25</v>
      </c>
      <c r="O104" s="24">
        <f>M104 * N104</f>
        <v>25</v>
      </c>
      <c r="P104" s="16">
        <f>O104 * $S$3</f>
        <v>0.375</v>
      </c>
      <c r="Q104" s="16">
        <f>O104 * $S$4</f>
        <v>0.5</v>
      </c>
    </row>
    <row r="105" spans="1:17">
      <c r="A105" s="2">
        <v>104</v>
      </c>
      <c r="B105" s="4">
        <f t="shared" si="5"/>
        <v>11</v>
      </c>
      <c r="C105" s="4">
        <f t="shared" si="6"/>
        <v>6</v>
      </c>
      <c r="D105" s="4">
        <f t="shared" si="7"/>
        <v>2023</v>
      </c>
      <c r="E105" s="4" t="str">
        <f t="shared" si="8"/>
        <v>Sun</v>
      </c>
      <c r="F105" s="4" t="str">
        <f t="shared" si="9"/>
        <v>Jun</v>
      </c>
      <c r="G105" s="3">
        <v>45088</v>
      </c>
      <c r="H105" s="4" t="s">
        <v>148</v>
      </c>
      <c r="I105" s="4" t="s">
        <v>3</v>
      </c>
      <c r="J105" s="4" t="str" cm="1">
        <f t="array" ref="J105">_xlfn.IFS(K105&gt;=50, "Senior", K105&gt;=30, "Adult", K105&lt;30,"Young Adult")</f>
        <v>Senior</v>
      </c>
      <c r="K105" s="4">
        <v>60</v>
      </c>
      <c r="L105" s="4" t="s">
        <v>6</v>
      </c>
      <c r="M105" s="4">
        <v>2</v>
      </c>
      <c r="N105" s="22">
        <v>500</v>
      </c>
      <c r="O105" s="24">
        <f>M105 * N105</f>
        <v>1000</v>
      </c>
      <c r="P105" s="16">
        <f>O105 * $S$3</f>
        <v>15</v>
      </c>
      <c r="Q105" s="16">
        <f>O105 * $S$4</f>
        <v>20</v>
      </c>
    </row>
    <row r="106" spans="1:17">
      <c r="A106" s="2">
        <v>105</v>
      </c>
      <c r="B106" s="4">
        <f t="shared" si="5"/>
        <v>25</v>
      </c>
      <c r="C106" s="4">
        <f t="shared" si="6"/>
        <v>7</v>
      </c>
      <c r="D106" s="4">
        <f t="shared" si="7"/>
        <v>2023</v>
      </c>
      <c r="E106" s="4" t="str">
        <f t="shared" si="8"/>
        <v>Tue</v>
      </c>
      <c r="F106" s="4" t="str">
        <f t="shared" si="9"/>
        <v>Jul</v>
      </c>
      <c r="G106" s="3">
        <v>45132</v>
      </c>
      <c r="H106" s="4" t="s">
        <v>397</v>
      </c>
      <c r="I106" s="4" t="s">
        <v>3</v>
      </c>
      <c r="J106" s="4" t="str" cm="1">
        <f t="array" ref="J106">_xlfn.IFS(K106&gt;=50, "Senior", K106&gt;=30, "Adult", K106&lt;30,"Young Adult")</f>
        <v>Senior</v>
      </c>
      <c r="K106" s="4">
        <v>60</v>
      </c>
      <c r="L106" s="4" t="s">
        <v>8</v>
      </c>
      <c r="M106" s="4">
        <v>1</v>
      </c>
      <c r="N106" s="22">
        <v>500</v>
      </c>
      <c r="O106" s="24">
        <f>M106 * N106</f>
        <v>500</v>
      </c>
      <c r="P106" s="16">
        <f>O106 * $S$3</f>
        <v>7.5</v>
      </c>
      <c r="Q106" s="16">
        <f>O106 * $S$4</f>
        <v>10</v>
      </c>
    </row>
    <row r="107" spans="1:17">
      <c r="A107" s="2">
        <v>106</v>
      </c>
      <c r="B107" s="4">
        <f t="shared" si="5"/>
        <v>18</v>
      </c>
      <c r="C107" s="4">
        <f t="shared" si="6"/>
        <v>5</v>
      </c>
      <c r="D107" s="4">
        <f t="shared" si="7"/>
        <v>2023</v>
      </c>
      <c r="E107" s="4" t="str">
        <f t="shared" si="8"/>
        <v>Thu</v>
      </c>
      <c r="F107" s="4" t="str">
        <f t="shared" si="9"/>
        <v>May</v>
      </c>
      <c r="G107" s="3">
        <v>45064</v>
      </c>
      <c r="H107" s="4" t="s">
        <v>280</v>
      </c>
      <c r="I107" s="4" t="s">
        <v>3</v>
      </c>
      <c r="J107" s="4" t="str" cm="1">
        <f t="array" ref="J107">_xlfn.IFS(K107&gt;=50, "Senior", K107&gt;=30, "Adult", K107&lt;30,"Young Adult")</f>
        <v>Senior</v>
      </c>
      <c r="K107" s="4">
        <v>60</v>
      </c>
      <c r="L107" s="4" t="s">
        <v>7</v>
      </c>
      <c r="M107" s="4">
        <v>1</v>
      </c>
      <c r="N107" s="22">
        <v>50</v>
      </c>
      <c r="O107" s="24">
        <f>M107 * N107</f>
        <v>50</v>
      </c>
      <c r="P107" s="16">
        <f>O107 * $S$3</f>
        <v>0.75</v>
      </c>
      <c r="Q107" s="16">
        <f>O107 * $S$4</f>
        <v>1</v>
      </c>
    </row>
    <row r="108" spans="1:17">
      <c r="A108" s="2">
        <v>107</v>
      </c>
      <c r="B108" s="4">
        <f t="shared" si="5"/>
        <v>3</v>
      </c>
      <c r="C108" s="4">
        <f t="shared" si="6"/>
        <v>2</v>
      </c>
      <c r="D108" s="4">
        <f t="shared" si="7"/>
        <v>2023</v>
      </c>
      <c r="E108" s="4" t="str">
        <f t="shared" si="8"/>
        <v>Fri</v>
      </c>
      <c r="F108" s="4" t="str">
        <f t="shared" si="9"/>
        <v>Feb</v>
      </c>
      <c r="G108" s="3">
        <v>44960</v>
      </c>
      <c r="H108" s="4" t="s">
        <v>398</v>
      </c>
      <c r="I108" s="4" t="s">
        <v>3</v>
      </c>
      <c r="J108" s="4" t="str" cm="1">
        <f t="array" ref="J108">_xlfn.IFS(K108&gt;=50, "Senior", K108&gt;=30, "Adult", K108&lt;30,"Young Adult")</f>
        <v>Senior</v>
      </c>
      <c r="K108" s="4">
        <v>60</v>
      </c>
      <c r="L108" s="4" t="s">
        <v>7</v>
      </c>
      <c r="M108" s="4">
        <v>4</v>
      </c>
      <c r="N108" s="22">
        <v>300</v>
      </c>
      <c r="O108" s="24">
        <f>M108 * N108</f>
        <v>1200</v>
      </c>
      <c r="P108" s="16">
        <f>O108 * $S$3</f>
        <v>18</v>
      </c>
      <c r="Q108" s="16">
        <f>O108 * $S$4</f>
        <v>24</v>
      </c>
    </row>
    <row r="109" spans="1:17">
      <c r="A109" s="2">
        <v>108</v>
      </c>
      <c r="B109" s="4">
        <f t="shared" si="5"/>
        <v>19</v>
      </c>
      <c r="C109" s="4">
        <f t="shared" si="6"/>
        <v>4</v>
      </c>
      <c r="D109" s="4">
        <f t="shared" si="7"/>
        <v>2023</v>
      </c>
      <c r="E109" s="4" t="str">
        <f t="shared" si="8"/>
        <v>Wed</v>
      </c>
      <c r="F109" s="4" t="str">
        <f t="shared" si="9"/>
        <v>Apr</v>
      </c>
      <c r="G109" s="3">
        <v>45035</v>
      </c>
      <c r="H109" s="4" t="s">
        <v>399</v>
      </c>
      <c r="I109" s="4" t="s">
        <v>3</v>
      </c>
      <c r="J109" s="4" t="str" cm="1">
        <f t="array" ref="J109">_xlfn.IFS(K109&gt;=50, "Senior", K109&gt;=30, "Adult", K109&lt;30,"Young Adult")</f>
        <v>Senior</v>
      </c>
      <c r="K109" s="4">
        <v>60</v>
      </c>
      <c r="L109" s="4" t="s">
        <v>6</v>
      </c>
      <c r="M109" s="4">
        <v>3</v>
      </c>
      <c r="N109" s="22">
        <v>25</v>
      </c>
      <c r="O109" s="24">
        <f>M109 * N109</f>
        <v>75</v>
      </c>
      <c r="P109" s="16">
        <f>O109 * $S$3</f>
        <v>1.125</v>
      </c>
      <c r="Q109" s="16">
        <f>O109 * $S$4</f>
        <v>1.5</v>
      </c>
    </row>
    <row r="110" spans="1:17">
      <c r="A110" s="2">
        <v>109</v>
      </c>
      <c r="B110" s="4">
        <f t="shared" si="5"/>
        <v>18</v>
      </c>
      <c r="C110" s="4">
        <f t="shared" si="6"/>
        <v>10</v>
      </c>
      <c r="D110" s="4">
        <f t="shared" si="7"/>
        <v>2023</v>
      </c>
      <c r="E110" s="4" t="str">
        <f t="shared" si="8"/>
        <v>Wed</v>
      </c>
      <c r="F110" s="4" t="str">
        <f t="shared" si="9"/>
        <v>Oct</v>
      </c>
      <c r="G110" s="3">
        <v>45217</v>
      </c>
      <c r="H110" s="4" t="s">
        <v>400</v>
      </c>
      <c r="I110" s="4" t="s">
        <v>3</v>
      </c>
      <c r="J110" s="4" t="str" cm="1">
        <f t="array" ref="J110">_xlfn.IFS(K110&gt;=50, "Senior", K110&gt;=30, "Adult", K110&lt;30,"Young Adult")</f>
        <v>Senior</v>
      </c>
      <c r="K110" s="4">
        <v>60</v>
      </c>
      <c r="L110" s="4" t="s">
        <v>8</v>
      </c>
      <c r="M110" s="4">
        <v>4</v>
      </c>
      <c r="N110" s="22">
        <v>500</v>
      </c>
      <c r="O110" s="24">
        <f>M110 * N110</f>
        <v>2000</v>
      </c>
      <c r="P110" s="16">
        <f>O110 * $S$3</f>
        <v>30</v>
      </c>
      <c r="Q110" s="16">
        <f>O110 * $S$4</f>
        <v>40</v>
      </c>
    </row>
    <row r="111" spans="1:17">
      <c r="A111" s="2">
        <v>110</v>
      </c>
      <c r="B111" s="4">
        <f t="shared" si="5"/>
        <v>11</v>
      </c>
      <c r="C111" s="4">
        <f t="shared" si="6"/>
        <v>6</v>
      </c>
      <c r="D111" s="4">
        <f t="shared" si="7"/>
        <v>2023</v>
      </c>
      <c r="E111" s="4" t="str">
        <f t="shared" si="8"/>
        <v>Sun</v>
      </c>
      <c r="F111" s="4" t="str">
        <f t="shared" si="9"/>
        <v>Jun</v>
      </c>
      <c r="G111" s="3">
        <v>45088</v>
      </c>
      <c r="H111" s="4" t="s">
        <v>401</v>
      </c>
      <c r="I111" s="4" t="s">
        <v>4</v>
      </c>
      <c r="J111" s="4" t="str" cm="1">
        <f t="array" ref="J111">_xlfn.IFS(K111&gt;=50, "Senior", K111&gt;=30, "Adult", K111&lt;30,"Young Adult")</f>
        <v>Senior</v>
      </c>
      <c r="K111" s="4">
        <v>60</v>
      </c>
      <c r="L111" s="4" t="s">
        <v>7</v>
      </c>
      <c r="M111" s="4">
        <v>3</v>
      </c>
      <c r="N111" s="22">
        <v>300</v>
      </c>
      <c r="O111" s="24">
        <f>M111 * N111</f>
        <v>900</v>
      </c>
      <c r="P111" s="16">
        <f>O111 * $S$3</f>
        <v>13.5</v>
      </c>
      <c r="Q111" s="16">
        <f>O111 * $S$4</f>
        <v>18</v>
      </c>
    </row>
    <row r="112" spans="1:17">
      <c r="A112" s="2">
        <v>111</v>
      </c>
      <c r="B112" s="4">
        <f t="shared" si="5"/>
        <v>19</v>
      </c>
      <c r="C112" s="4">
        <f t="shared" si="6"/>
        <v>4</v>
      </c>
      <c r="D112" s="4">
        <f t="shared" si="7"/>
        <v>2023</v>
      </c>
      <c r="E112" s="4" t="str">
        <f t="shared" si="8"/>
        <v>Wed</v>
      </c>
      <c r="F112" s="4" t="str">
        <f t="shared" si="9"/>
        <v>Apr</v>
      </c>
      <c r="G112" s="3">
        <v>45035</v>
      </c>
      <c r="H112" s="4" t="s">
        <v>402</v>
      </c>
      <c r="I112" s="4" t="s">
        <v>3</v>
      </c>
      <c r="J112" s="4" t="str" cm="1">
        <f t="array" ref="J112">_xlfn.IFS(K112&gt;=50, "Senior", K112&gt;=30, "Adult", K112&lt;30,"Young Adult")</f>
        <v>Senior</v>
      </c>
      <c r="K112" s="4">
        <v>60</v>
      </c>
      <c r="L112" s="4" t="s">
        <v>8</v>
      </c>
      <c r="M112" s="4">
        <v>3</v>
      </c>
      <c r="N112" s="22">
        <v>500</v>
      </c>
      <c r="O112" s="24">
        <f>M112 * N112</f>
        <v>1500</v>
      </c>
      <c r="P112" s="16">
        <f>O112 * $S$3</f>
        <v>22.5</v>
      </c>
      <c r="Q112" s="16">
        <f>O112 * $S$4</f>
        <v>30</v>
      </c>
    </row>
    <row r="113" spans="1:17">
      <c r="A113" s="2">
        <v>112</v>
      </c>
      <c r="B113" s="4">
        <f t="shared" si="5"/>
        <v>2</v>
      </c>
      <c r="C113" s="4">
        <f t="shared" si="6"/>
        <v>12</v>
      </c>
      <c r="D113" s="4">
        <f t="shared" si="7"/>
        <v>2023</v>
      </c>
      <c r="E113" s="4" t="str">
        <f t="shared" si="8"/>
        <v>Sat</v>
      </c>
      <c r="F113" s="4" t="str">
        <f t="shared" si="9"/>
        <v>Dec</v>
      </c>
      <c r="G113" s="3">
        <v>45262</v>
      </c>
      <c r="H113" s="4" t="s">
        <v>286</v>
      </c>
      <c r="I113" s="4" t="s">
        <v>4</v>
      </c>
      <c r="J113" s="4" t="str" cm="1">
        <f t="array" ref="J113">_xlfn.IFS(K113&gt;=50, "Senior", K113&gt;=30, "Adult", K113&lt;30,"Young Adult")</f>
        <v>Senior</v>
      </c>
      <c r="K113" s="4">
        <v>60</v>
      </c>
      <c r="L113" s="4" t="s">
        <v>7</v>
      </c>
      <c r="M113" s="4">
        <v>3</v>
      </c>
      <c r="N113" s="22">
        <v>500</v>
      </c>
      <c r="O113" s="24">
        <f>M113 * N113</f>
        <v>1500</v>
      </c>
      <c r="P113" s="16">
        <f>O113 * $S$3</f>
        <v>22.5</v>
      </c>
      <c r="Q113" s="16">
        <f>O113 * $S$4</f>
        <v>30</v>
      </c>
    </row>
    <row r="114" spans="1:17">
      <c r="A114" s="2">
        <v>113</v>
      </c>
      <c r="B114" s="4">
        <f t="shared" si="5"/>
        <v>13</v>
      </c>
      <c r="C114" s="4">
        <f t="shared" si="6"/>
        <v>9</v>
      </c>
      <c r="D114" s="4">
        <f t="shared" si="7"/>
        <v>2023</v>
      </c>
      <c r="E114" s="4" t="str">
        <f t="shared" si="8"/>
        <v>Wed</v>
      </c>
      <c r="F114" s="4" t="str">
        <f t="shared" si="9"/>
        <v>Sep</v>
      </c>
      <c r="G114" s="3">
        <v>45182</v>
      </c>
      <c r="H114" s="4" t="s">
        <v>403</v>
      </c>
      <c r="I114" s="4" t="s">
        <v>3</v>
      </c>
      <c r="J114" s="4" t="str" cm="1">
        <f t="array" ref="J114">_xlfn.IFS(K114&gt;=50, "Senior", K114&gt;=30, "Adult", K114&lt;30,"Young Adult")</f>
        <v>Senior</v>
      </c>
      <c r="K114" s="4">
        <v>60</v>
      </c>
      <c r="L114" s="4" t="s">
        <v>8</v>
      </c>
      <c r="M114" s="4">
        <v>2</v>
      </c>
      <c r="N114" s="22">
        <v>25</v>
      </c>
      <c r="O114" s="24">
        <f>M114 * N114</f>
        <v>50</v>
      </c>
      <c r="P114" s="16">
        <f>O114 * $S$3</f>
        <v>0.75</v>
      </c>
      <c r="Q114" s="16">
        <f>O114 * $S$4</f>
        <v>1</v>
      </c>
    </row>
    <row r="115" spans="1:17">
      <c r="A115" s="2">
        <v>114</v>
      </c>
      <c r="B115" s="4">
        <f t="shared" si="5"/>
        <v>22</v>
      </c>
      <c r="C115" s="4">
        <f t="shared" si="6"/>
        <v>7</v>
      </c>
      <c r="D115" s="4">
        <f t="shared" si="7"/>
        <v>2023</v>
      </c>
      <c r="E115" s="4" t="str">
        <f t="shared" si="8"/>
        <v>Sat</v>
      </c>
      <c r="F115" s="4" t="str">
        <f t="shared" si="9"/>
        <v>Jul</v>
      </c>
      <c r="G115" s="3">
        <v>45129</v>
      </c>
      <c r="H115" s="4" t="s">
        <v>404</v>
      </c>
      <c r="I115" s="4" t="s">
        <v>3</v>
      </c>
      <c r="J115" s="4" t="str" cm="1">
        <f t="array" ref="J115">_xlfn.IFS(K115&gt;=50, "Senior", K115&gt;=30, "Adult", K115&lt;30,"Young Adult")</f>
        <v>Senior</v>
      </c>
      <c r="K115" s="4">
        <v>60</v>
      </c>
      <c r="L115" s="4" t="s">
        <v>6</v>
      </c>
      <c r="M115" s="4">
        <v>4</v>
      </c>
      <c r="N115" s="22">
        <v>25</v>
      </c>
      <c r="O115" s="24">
        <f>M115 * N115</f>
        <v>100</v>
      </c>
      <c r="P115" s="16">
        <f>O115 * $S$3</f>
        <v>1.5</v>
      </c>
      <c r="Q115" s="16">
        <f>O115 * $S$4</f>
        <v>2</v>
      </c>
    </row>
    <row r="116" spans="1:17">
      <c r="A116" s="2">
        <v>115</v>
      </c>
      <c r="B116" s="4">
        <f t="shared" si="5"/>
        <v>26</v>
      </c>
      <c r="C116" s="4">
        <f t="shared" si="6"/>
        <v>11</v>
      </c>
      <c r="D116" s="4">
        <f t="shared" si="7"/>
        <v>2023</v>
      </c>
      <c r="E116" s="4" t="str">
        <f t="shared" si="8"/>
        <v>Sun</v>
      </c>
      <c r="F116" s="4" t="str">
        <f t="shared" si="9"/>
        <v>Nov</v>
      </c>
      <c r="G116" s="3">
        <v>45256</v>
      </c>
      <c r="H116" s="4" t="s">
        <v>405</v>
      </c>
      <c r="I116" s="4" t="s">
        <v>4</v>
      </c>
      <c r="J116" s="4" t="str" cm="1">
        <f t="array" ref="J116">_xlfn.IFS(K116&gt;=50, "Senior", K116&gt;=30, "Adult", K116&lt;30,"Young Adult")</f>
        <v>Senior</v>
      </c>
      <c r="K116" s="4">
        <v>60</v>
      </c>
      <c r="L116" s="4" t="s">
        <v>7</v>
      </c>
      <c r="M116" s="4">
        <v>3</v>
      </c>
      <c r="N116" s="22">
        <v>500</v>
      </c>
      <c r="O116" s="24">
        <f>M116 * N116</f>
        <v>1500</v>
      </c>
      <c r="P116" s="16">
        <f>O116 * $S$3</f>
        <v>22.5</v>
      </c>
      <c r="Q116" s="16">
        <f>O116 * $S$4</f>
        <v>30</v>
      </c>
    </row>
    <row r="117" spans="1:17">
      <c r="A117" s="2">
        <v>116</v>
      </c>
      <c r="B117" s="4">
        <f t="shared" si="5"/>
        <v>23</v>
      </c>
      <c r="C117" s="4">
        <f t="shared" si="6"/>
        <v>8</v>
      </c>
      <c r="D117" s="4">
        <f t="shared" si="7"/>
        <v>2023</v>
      </c>
      <c r="E117" s="4" t="str">
        <f t="shared" si="8"/>
        <v>Wed</v>
      </c>
      <c r="F117" s="4" t="str">
        <f t="shared" si="9"/>
        <v>Aug</v>
      </c>
      <c r="G117" s="3">
        <v>45161</v>
      </c>
      <c r="H117" s="4" t="s">
        <v>406</v>
      </c>
      <c r="I117" s="4" t="s">
        <v>3</v>
      </c>
      <c r="J117" s="4" t="str" cm="1">
        <f t="array" ref="J117">_xlfn.IFS(K117&gt;=50, "Senior", K117&gt;=30, "Adult", K117&lt;30,"Young Adult")</f>
        <v>Senior</v>
      </c>
      <c r="K117" s="4">
        <v>59</v>
      </c>
      <c r="L117" s="4" t="s">
        <v>7</v>
      </c>
      <c r="M117" s="4">
        <v>1</v>
      </c>
      <c r="N117" s="22">
        <v>30</v>
      </c>
      <c r="O117" s="24">
        <f>M117 * N117</f>
        <v>30</v>
      </c>
      <c r="P117" s="16">
        <f>O117 * $S$3</f>
        <v>0.44999999999999996</v>
      </c>
      <c r="Q117" s="16">
        <f>O117 * $S$4</f>
        <v>0.6</v>
      </c>
    </row>
    <row r="118" spans="1:17">
      <c r="A118" s="2">
        <v>117</v>
      </c>
      <c r="B118" s="4">
        <f t="shared" si="5"/>
        <v>15</v>
      </c>
      <c r="C118" s="4">
        <f t="shared" si="6"/>
        <v>3</v>
      </c>
      <c r="D118" s="4">
        <f t="shared" si="7"/>
        <v>2023</v>
      </c>
      <c r="E118" s="4" t="str">
        <f t="shared" si="8"/>
        <v>Wed</v>
      </c>
      <c r="F118" s="4" t="str">
        <f t="shared" si="9"/>
        <v>Mar</v>
      </c>
      <c r="G118" s="3">
        <v>45000</v>
      </c>
      <c r="H118" s="4" t="s">
        <v>407</v>
      </c>
      <c r="I118" s="4" t="s">
        <v>4</v>
      </c>
      <c r="J118" s="4" t="str" cm="1">
        <f t="array" ref="J118">_xlfn.IFS(K118&gt;=50, "Senior", K118&gt;=30, "Adult", K118&lt;30,"Young Adult")</f>
        <v>Senior</v>
      </c>
      <c r="K118" s="4">
        <v>59</v>
      </c>
      <c r="L118" s="4" t="s">
        <v>8</v>
      </c>
      <c r="M118" s="4">
        <v>2</v>
      </c>
      <c r="N118" s="22">
        <v>500</v>
      </c>
      <c r="O118" s="24">
        <f>M118 * N118</f>
        <v>1000</v>
      </c>
      <c r="P118" s="16">
        <f>O118 * $S$3</f>
        <v>15</v>
      </c>
      <c r="Q118" s="16">
        <f>O118 * $S$4</f>
        <v>20</v>
      </c>
    </row>
    <row r="119" spans="1:17">
      <c r="A119" s="2">
        <v>118</v>
      </c>
      <c r="B119" s="4">
        <f t="shared" si="5"/>
        <v>16</v>
      </c>
      <c r="C119" s="4">
        <f t="shared" si="6"/>
        <v>5</v>
      </c>
      <c r="D119" s="4">
        <f t="shared" si="7"/>
        <v>2023</v>
      </c>
      <c r="E119" s="4" t="str">
        <f t="shared" si="8"/>
        <v>Tue</v>
      </c>
      <c r="F119" s="4" t="str">
        <f t="shared" si="9"/>
        <v>May</v>
      </c>
      <c r="G119" s="3">
        <v>45062</v>
      </c>
      <c r="H119" s="4" t="s">
        <v>408</v>
      </c>
      <c r="I119" s="4" t="s">
        <v>3</v>
      </c>
      <c r="J119" s="4" t="str" cm="1">
        <f t="array" ref="J119">_xlfn.IFS(K119&gt;=50, "Senior", K119&gt;=30, "Adult", K119&lt;30,"Young Adult")</f>
        <v>Senior</v>
      </c>
      <c r="K119" s="4">
        <v>59</v>
      </c>
      <c r="L119" s="4" t="s">
        <v>8</v>
      </c>
      <c r="M119" s="4">
        <v>4</v>
      </c>
      <c r="N119" s="22">
        <v>500</v>
      </c>
      <c r="O119" s="24">
        <f>M119 * N119</f>
        <v>2000</v>
      </c>
      <c r="P119" s="16">
        <f>O119 * $S$3</f>
        <v>30</v>
      </c>
      <c r="Q119" s="16">
        <f>O119 * $S$4</f>
        <v>40</v>
      </c>
    </row>
    <row r="120" spans="1:17">
      <c r="A120" s="2">
        <v>119</v>
      </c>
      <c r="B120" s="4">
        <f t="shared" si="5"/>
        <v>13</v>
      </c>
      <c r="C120" s="4">
        <f t="shared" si="6"/>
        <v>3</v>
      </c>
      <c r="D120" s="4">
        <f t="shared" si="7"/>
        <v>2023</v>
      </c>
      <c r="E120" s="4" t="str">
        <f t="shared" si="8"/>
        <v>Mon</v>
      </c>
      <c r="F120" s="4" t="str">
        <f t="shared" si="9"/>
        <v>Mar</v>
      </c>
      <c r="G120" s="3">
        <v>44998</v>
      </c>
      <c r="H120" s="4" t="s">
        <v>409</v>
      </c>
      <c r="I120" s="4" t="s">
        <v>3</v>
      </c>
      <c r="J120" s="4" t="str" cm="1">
        <f t="array" ref="J120">_xlfn.IFS(K120&gt;=50, "Senior", K120&gt;=30, "Adult", K120&lt;30,"Young Adult")</f>
        <v>Senior</v>
      </c>
      <c r="K120" s="4">
        <v>59</v>
      </c>
      <c r="L120" s="4" t="s">
        <v>7</v>
      </c>
      <c r="M120" s="4">
        <v>3</v>
      </c>
      <c r="N120" s="22">
        <v>50</v>
      </c>
      <c r="O120" s="24">
        <f>M120 * N120</f>
        <v>150</v>
      </c>
      <c r="P120" s="16">
        <f>O120 * $S$3</f>
        <v>2.25</v>
      </c>
      <c r="Q120" s="16">
        <f>O120 * $S$4</f>
        <v>3</v>
      </c>
    </row>
    <row r="121" spans="1:17">
      <c r="A121" s="2">
        <v>120</v>
      </c>
      <c r="B121" s="4">
        <f t="shared" si="5"/>
        <v>7</v>
      </c>
      <c r="C121" s="4">
        <f t="shared" si="6"/>
        <v>5</v>
      </c>
      <c r="D121" s="4">
        <f t="shared" si="7"/>
        <v>2023</v>
      </c>
      <c r="E121" s="4" t="str">
        <f t="shared" si="8"/>
        <v>Sun</v>
      </c>
      <c r="F121" s="4" t="str">
        <f t="shared" si="9"/>
        <v>May</v>
      </c>
      <c r="G121" s="3">
        <v>45053</v>
      </c>
      <c r="H121" s="4" t="s">
        <v>410</v>
      </c>
      <c r="I121" s="4" t="s">
        <v>4</v>
      </c>
      <c r="J121" s="4" t="str" cm="1">
        <f t="array" ref="J121">_xlfn.IFS(K121&gt;=50, "Senior", K121&gt;=30, "Adult", K121&lt;30,"Young Adult")</f>
        <v>Senior</v>
      </c>
      <c r="K121" s="4">
        <v>59</v>
      </c>
      <c r="L121" s="4" t="s">
        <v>6</v>
      </c>
      <c r="M121" s="4">
        <v>1</v>
      </c>
      <c r="N121" s="22">
        <v>50</v>
      </c>
      <c r="O121" s="24">
        <f>M121 * N121</f>
        <v>50</v>
      </c>
      <c r="P121" s="16">
        <f>O121 * $S$3</f>
        <v>0.75</v>
      </c>
      <c r="Q121" s="16">
        <f>O121 * $S$4</f>
        <v>1</v>
      </c>
    </row>
    <row r="122" spans="1:17">
      <c r="A122" s="2">
        <v>121</v>
      </c>
      <c r="B122" s="4">
        <f t="shared" si="5"/>
        <v>15</v>
      </c>
      <c r="C122" s="4">
        <f t="shared" si="6"/>
        <v>10</v>
      </c>
      <c r="D122" s="4">
        <f t="shared" si="7"/>
        <v>2023</v>
      </c>
      <c r="E122" s="4" t="str">
        <f t="shared" si="8"/>
        <v>Sun</v>
      </c>
      <c r="F122" s="4" t="str">
        <f t="shared" si="9"/>
        <v>Oct</v>
      </c>
      <c r="G122" s="3">
        <v>45214</v>
      </c>
      <c r="H122" s="4" t="s">
        <v>411</v>
      </c>
      <c r="I122" s="4" t="s">
        <v>3</v>
      </c>
      <c r="J122" s="4" t="str" cm="1">
        <f t="array" ref="J122">_xlfn.IFS(K122&gt;=50, "Senior", K122&gt;=30, "Adult", K122&lt;30,"Young Adult")</f>
        <v>Senior</v>
      </c>
      <c r="K122" s="4">
        <v>59</v>
      </c>
      <c r="L122" s="4" t="s">
        <v>8</v>
      </c>
      <c r="M122" s="4">
        <v>4</v>
      </c>
      <c r="N122" s="22">
        <v>50</v>
      </c>
      <c r="O122" s="24">
        <f>M122 * N122</f>
        <v>200</v>
      </c>
      <c r="P122" s="16">
        <f>O122 * $S$3</f>
        <v>3</v>
      </c>
      <c r="Q122" s="16">
        <f>O122 * $S$4</f>
        <v>4</v>
      </c>
    </row>
    <row r="123" spans="1:17">
      <c r="A123" s="2">
        <v>122</v>
      </c>
      <c r="B123" s="4">
        <f t="shared" si="5"/>
        <v>3</v>
      </c>
      <c r="C123" s="4">
        <f t="shared" si="6"/>
        <v>10</v>
      </c>
      <c r="D123" s="4">
        <f t="shared" si="7"/>
        <v>2023</v>
      </c>
      <c r="E123" s="4" t="str">
        <f t="shared" si="8"/>
        <v>Tue</v>
      </c>
      <c r="F123" s="4" t="str">
        <f t="shared" si="9"/>
        <v>Oct</v>
      </c>
      <c r="G123" s="3">
        <v>45202</v>
      </c>
      <c r="H123" s="4" t="s">
        <v>412</v>
      </c>
      <c r="I123" s="4" t="s">
        <v>4</v>
      </c>
      <c r="J123" s="4" t="str" cm="1">
        <f t="array" ref="J123">_xlfn.IFS(K123&gt;=50, "Senior", K123&gt;=30, "Adult", K123&lt;30,"Young Adult")</f>
        <v>Senior</v>
      </c>
      <c r="K123" s="4">
        <v>59</v>
      </c>
      <c r="L123" s="4" t="s">
        <v>8</v>
      </c>
      <c r="M123" s="4">
        <v>4</v>
      </c>
      <c r="N123" s="22">
        <v>30</v>
      </c>
      <c r="O123" s="24">
        <f>M123 * N123</f>
        <v>120</v>
      </c>
      <c r="P123" s="16">
        <f>O123 * $S$3</f>
        <v>1.7999999999999998</v>
      </c>
      <c r="Q123" s="16">
        <f>O123 * $S$4</f>
        <v>2.4</v>
      </c>
    </row>
    <row r="124" spans="1:17">
      <c r="A124" s="2">
        <v>123</v>
      </c>
      <c r="B124" s="4">
        <f t="shared" si="5"/>
        <v>15</v>
      </c>
      <c r="C124" s="4">
        <f t="shared" si="6"/>
        <v>5</v>
      </c>
      <c r="D124" s="4">
        <f t="shared" si="7"/>
        <v>2023</v>
      </c>
      <c r="E124" s="4" t="str">
        <f t="shared" si="8"/>
        <v>Mon</v>
      </c>
      <c r="F124" s="4" t="str">
        <f t="shared" si="9"/>
        <v>May</v>
      </c>
      <c r="G124" s="3">
        <v>45061</v>
      </c>
      <c r="H124" s="4" t="s">
        <v>413</v>
      </c>
      <c r="I124" s="4" t="s">
        <v>3</v>
      </c>
      <c r="J124" s="4" t="str" cm="1">
        <f t="array" ref="J124">_xlfn.IFS(K124&gt;=50, "Senior", K124&gt;=30, "Adult", K124&lt;30,"Young Adult")</f>
        <v>Senior</v>
      </c>
      <c r="K124" s="4">
        <v>59</v>
      </c>
      <c r="L124" s="4" t="s">
        <v>8</v>
      </c>
      <c r="M124" s="4">
        <v>2</v>
      </c>
      <c r="N124" s="22">
        <v>30</v>
      </c>
      <c r="O124" s="24">
        <f>M124 * N124</f>
        <v>60</v>
      </c>
      <c r="P124" s="16">
        <f>O124 * $S$3</f>
        <v>0.89999999999999991</v>
      </c>
      <c r="Q124" s="16">
        <f>O124 * $S$4</f>
        <v>1.2</v>
      </c>
    </row>
    <row r="125" spans="1:17">
      <c r="A125" s="2">
        <v>124</v>
      </c>
      <c r="B125" s="4">
        <f t="shared" si="5"/>
        <v>27</v>
      </c>
      <c r="C125" s="4">
        <f t="shared" si="6"/>
        <v>10</v>
      </c>
      <c r="D125" s="4">
        <f t="shared" si="7"/>
        <v>2023</v>
      </c>
      <c r="E125" s="4" t="str">
        <f t="shared" si="8"/>
        <v>Fri</v>
      </c>
      <c r="F125" s="4" t="str">
        <f t="shared" si="9"/>
        <v>Oct</v>
      </c>
      <c r="G125" s="3">
        <v>45226</v>
      </c>
      <c r="H125" s="4" t="s">
        <v>298</v>
      </c>
      <c r="I125" s="4" t="s">
        <v>4</v>
      </c>
      <c r="J125" s="4" t="str" cm="1">
        <f t="array" ref="J125">_xlfn.IFS(K125&gt;=50, "Senior", K125&gt;=30, "Adult", K125&lt;30,"Young Adult")</f>
        <v>Senior</v>
      </c>
      <c r="K125" s="4">
        <v>59</v>
      </c>
      <c r="L125" s="4" t="s">
        <v>7</v>
      </c>
      <c r="M125" s="4">
        <v>4</v>
      </c>
      <c r="N125" s="22">
        <v>500</v>
      </c>
      <c r="O125" s="24">
        <f>M125 * N125</f>
        <v>2000</v>
      </c>
      <c r="P125" s="16">
        <f>O125 * $S$3</f>
        <v>30</v>
      </c>
      <c r="Q125" s="16">
        <f>O125 * $S$4</f>
        <v>40</v>
      </c>
    </row>
    <row r="126" spans="1:17">
      <c r="A126" s="2">
        <v>125</v>
      </c>
      <c r="B126" s="4">
        <f t="shared" si="5"/>
        <v>8</v>
      </c>
      <c r="C126" s="4">
        <f t="shared" si="6"/>
        <v>8</v>
      </c>
      <c r="D126" s="4">
        <f t="shared" si="7"/>
        <v>2023</v>
      </c>
      <c r="E126" s="4" t="str">
        <f t="shared" si="8"/>
        <v>Tue</v>
      </c>
      <c r="F126" s="4" t="str">
        <f t="shared" si="9"/>
        <v>Aug</v>
      </c>
      <c r="G126" s="3">
        <v>45146</v>
      </c>
      <c r="H126" s="4" t="s">
        <v>299</v>
      </c>
      <c r="I126" s="4" t="s">
        <v>4</v>
      </c>
      <c r="J126" s="4" t="str" cm="1">
        <f t="array" ref="J126">_xlfn.IFS(K126&gt;=50, "Senior", K126&gt;=30, "Adult", K126&lt;30,"Young Adult")</f>
        <v>Senior</v>
      </c>
      <c r="K126" s="4">
        <v>59</v>
      </c>
      <c r="L126" s="4" t="s">
        <v>7</v>
      </c>
      <c r="M126" s="4">
        <v>2</v>
      </c>
      <c r="N126" s="22">
        <v>50</v>
      </c>
      <c r="O126" s="24">
        <f>M126 * N126</f>
        <v>100</v>
      </c>
      <c r="P126" s="16">
        <f>O126 * $S$3</f>
        <v>1.5</v>
      </c>
      <c r="Q126" s="16">
        <f>O126 * $S$4</f>
        <v>2</v>
      </c>
    </row>
    <row r="127" spans="1:17">
      <c r="A127" s="2">
        <v>126</v>
      </c>
      <c r="B127" s="4">
        <f t="shared" si="5"/>
        <v>26</v>
      </c>
      <c r="C127" s="4">
        <f t="shared" si="6"/>
        <v>10</v>
      </c>
      <c r="D127" s="4">
        <f t="shared" si="7"/>
        <v>2023</v>
      </c>
      <c r="E127" s="4" t="str">
        <f t="shared" si="8"/>
        <v>Thu</v>
      </c>
      <c r="F127" s="4" t="str">
        <f t="shared" si="9"/>
        <v>Oct</v>
      </c>
      <c r="G127" s="3">
        <v>45225</v>
      </c>
      <c r="H127" s="4" t="s">
        <v>414</v>
      </c>
      <c r="I127" s="4" t="s">
        <v>3</v>
      </c>
      <c r="J127" s="4" t="str" cm="1">
        <f t="array" ref="J127">_xlfn.IFS(K127&gt;=50, "Senior", K127&gt;=30, "Adult", K127&lt;30,"Young Adult")</f>
        <v>Senior</v>
      </c>
      <c r="K127" s="4">
        <v>59</v>
      </c>
      <c r="L127" s="4" t="s">
        <v>7</v>
      </c>
      <c r="M127" s="4">
        <v>3</v>
      </c>
      <c r="N127" s="22">
        <v>30</v>
      </c>
      <c r="O127" s="24">
        <f>M127 * N127</f>
        <v>90</v>
      </c>
      <c r="P127" s="16">
        <f>O127 * $S$3</f>
        <v>1.3499999999999999</v>
      </c>
      <c r="Q127" s="16">
        <f>O127 * $S$4</f>
        <v>1.8</v>
      </c>
    </row>
    <row r="128" spans="1:17">
      <c r="A128" s="2">
        <v>127</v>
      </c>
      <c r="B128" s="4">
        <f t="shared" si="5"/>
        <v>24</v>
      </c>
      <c r="C128" s="4">
        <f t="shared" si="6"/>
        <v>7</v>
      </c>
      <c r="D128" s="4">
        <f t="shared" si="7"/>
        <v>2023</v>
      </c>
      <c r="E128" s="4" t="str">
        <f t="shared" si="8"/>
        <v>Mon</v>
      </c>
      <c r="F128" s="4" t="str">
        <f t="shared" si="9"/>
        <v>Jul</v>
      </c>
      <c r="G128" s="3">
        <v>45131</v>
      </c>
      <c r="H128" s="4" t="s">
        <v>301</v>
      </c>
      <c r="I128" s="4" t="s">
        <v>3</v>
      </c>
      <c r="J128" s="4" t="str" cm="1">
        <f t="array" ref="J128">_xlfn.IFS(K128&gt;=50, "Senior", K128&gt;=30, "Adult", K128&lt;30,"Young Adult")</f>
        <v>Senior</v>
      </c>
      <c r="K128" s="4">
        <v>59</v>
      </c>
      <c r="L128" s="4" t="s">
        <v>7</v>
      </c>
      <c r="M128" s="4">
        <v>2</v>
      </c>
      <c r="N128" s="22">
        <v>25</v>
      </c>
      <c r="O128" s="24">
        <f>M128 * N128</f>
        <v>50</v>
      </c>
      <c r="P128" s="16">
        <f>O128 * $S$3</f>
        <v>0.75</v>
      </c>
      <c r="Q128" s="16">
        <f>O128 * $S$4</f>
        <v>1</v>
      </c>
    </row>
    <row r="129" spans="1:17">
      <c r="A129" s="2">
        <v>128</v>
      </c>
      <c r="B129" s="4">
        <f t="shared" si="5"/>
        <v>5</v>
      </c>
      <c r="C129" s="4">
        <f t="shared" si="6"/>
        <v>7</v>
      </c>
      <c r="D129" s="4">
        <f t="shared" si="7"/>
        <v>2023</v>
      </c>
      <c r="E129" s="4" t="str">
        <f t="shared" si="8"/>
        <v>Wed</v>
      </c>
      <c r="F129" s="4" t="str">
        <f t="shared" si="9"/>
        <v>Jul</v>
      </c>
      <c r="G129" s="3">
        <v>45112</v>
      </c>
      <c r="H129" s="4" t="s">
        <v>415</v>
      </c>
      <c r="I129" s="4" t="s">
        <v>4</v>
      </c>
      <c r="J129" s="4" t="str" cm="1">
        <f t="array" ref="J129">_xlfn.IFS(K129&gt;=50, "Senior", K129&gt;=30, "Adult", K129&lt;30,"Young Adult")</f>
        <v>Senior</v>
      </c>
      <c r="K129" s="4">
        <v>59</v>
      </c>
      <c r="L129" s="4" t="s">
        <v>6</v>
      </c>
      <c r="M129" s="4">
        <v>1</v>
      </c>
      <c r="N129" s="22">
        <v>500</v>
      </c>
      <c r="O129" s="24">
        <f>M129 * N129</f>
        <v>500</v>
      </c>
      <c r="P129" s="16">
        <f>O129 * $S$3</f>
        <v>7.5</v>
      </c>
      <c r="Q129" s="16">
        <f>O129 * $S$4</f>
        <v>10</v>
      </c>
    </row>
    <row r="130" spans="1:17">
      <c r="A130" s="2">
        <v>129</v>
      </c>
      <c r="B130" s="4">
        <f t="shared" si="5"/>
        <v>23</v>
      </c>
      <c r="C130" s="4">
        <f t="shared" si="6"/>
        <v>4</v>
      </c>
      <c r="D130" s="4">
        <f t="shared" si="7"/>
        <v>2023</v>
      </c>
      <c r="E130" s="4" t="str">
        <f t="shared" si="8"/>
        <v>Sun</v>
      </c>
      <c r="F130" s="4" t="str">
        <f t="shared" si="9"/>
        <v>Apr</v>
      </c>
      <c r="G130" s="3">
        <v>45039</v>
      </c>
      <c r="H130" s="4" t="s">
        <v>416</v>
      </c>
      <c r="I130" s="4" t="s">
        <v>3</v>
      </c>
      <c r="J130" s="4" t="str" cm="1">
        <f t="array" ref="J130">_xlfn.IFS(K130&gt;=50, "Senior", K130&gt;=30, "Adult", K130&lt;30,"Young Adult")</f>
        <v>Senior</v>
      </c>
      <c r="K130" s="4">
        <v>59</v>
      </c>
      <c r="L130" s="4" t="s">
        <v>6</v>
      </c>
      <c r="M130" s="4">
        <v>2</v>
      </c>
      <c r="N130" s="22">
        <v>300</v>
      </c>
      <c r="O130" s="24">
        <f>M130 * N130</f>
        <v>600</v>
      </c>
      <c r="P130" s="16">
        <f>O130 * $S$3</f>
        <v>9</v>
      </c>
      <c r="Q130" s="16">
        <f>O130 * $S$4</f>
        <v>12</v>
      </c>
    </row>
    <row r="131" spans="1:17">
      <c r="A131" s="2">
        <v>130</v>
      </c>
      <c r="B131" s="4">
        <f t="shared" ref="B131:B194" si="10">DAY(G131)</f>
        <v>12</v>
      </c>
      <c r="C131" s="4">
        <f t="shared" ref="C131:C194" si="11">MONTH(G131)</f>
        <v>3</v>
      </c>
      <c r="D131" s="4">
        <f t="shared" ref="D131:D194" si="12">YEAR(G131)</f>
        <v>2023</v>
      </c>
      <c r="E131" s="4" t="str">
        <f t="shared" ref="E131:E194" si="13">TEXT(G131,"DDD")</f>
        <v>Sun</v>
      </c>
      <c r="F131" s="4" t="str">
        <f t="shared" ref="F131:F194" si="14">TEXT(G131,"MMM")</f>
        <v>Mar</v>
      </c>
      <c r="G131" s="3">
        <v>44997</v>
      </c>
      <c r="H131" s="4" t="s">
        <v>417</v>
      </c>
      <c r="I131" s="4" t="s">
        <v>3</v>
      </c>
      <c r="J131" s="4" t="str" cm="1">
        <f t="array" ref="J131">_xlfn.IFS(K131&gt;=50, "Senior", K131&gt;=30, "Adult", K131&lt;30,"Young Adult")</f>
        <v>Senior</v>
      </c>
      <c r="K131" s="4">
        <v>59</v>
      </c>
      <c r="L131" s="4" t="s">
        <v>7</v>
      </c>
      <c r="M131" s="4">
        <v>1</v>
      </c>
      <c r="N131" s="22">
        <v>500</v>
      </c>
      <c r="O131" s="24">
        <f>M131 * N131</f>
        <v>500</v>
      </c>
      <c r="P131" s="16">
        <f>O131 * $S$3</f>
        <v>7.5</v>
      </c>
      <c r="Q131" s="16">
        <f>O131 * $S$4</f>
        <v>10</v>
      </c>
    </row>
    <row r="132" spans="1:17">
      <c r="A132" s="2">
        <v>131</v>
      </c>
      <c r="B132" s="4">
        <f t="shared" si="10"/>
        <v>18</v>
      </c>
      <c r="C132" s="4">
        <f t="shared" si="11"/>
        <v>9</v>
      </c>
      <c r="D132" s="4">
        <f t="shared" si="12"/>
        <v>2023</v>
      </c>
      <c r="E132" s="4" t="str">
        <f t="shared" si="13"/>
        <v>Mon</v>
      </c>
      <c r="F132" s="4" t="str">
        <f t="shared" si="14"/>
        <v>Sep</v>
      </c>
      <c r="G132" s="3">
        <v>45187</v>
      </c>
      <c r="H132" s="4" t="s">
        <v>418</v>
      </c>
      <c r="I132" s="4" t="s">
        <v>3</v>
      </c>
      <c r="J132" s="4" t="str" cm="1">
        <f t="array" ref="J132">_xlfn.IFS(K132&gt;=50, "Senior", K132&gt;=30, "Adult", K132&lt;30,"Young Adult")</f>
        <v>Senior</v>
      </c>
      <c r="K132" s="4">
        <v>59</v>
      </c>
      <c r="L132" s="4" t="s">
        <v>6</v>
      </c>
      <c r="M132" s="4">
        <v>2</v>
      </c>
      <c r="N132" s="22">
        <v>300</v>
      </c>
      <c r="O132" s="24">
        <f>M132 * N132</f>
        <v>600</v>
      </c>
      <c r="P132" s="16">
        <f>O132 * $S$3</f>
        <v>9</v>
      </c>
      <c r="Q132" s="16">
        <f>O132 * $S$4</f>
        <v>12</v>
      </c>
    </row>
    <row r="133" spans="1:17">
      <c r="A133" s="2">
        <v>132</v>
      </c>
      <c r="B133" s="4">
        <f t="shared" si="10"/>
        <v>10</v>
      </c>
      <c r="C133" s="4">
        <f t="shared" si="11"/>
        <v>9</v>
      </c>
      <c r="D133" s="4">
        <f t="shared" si="12"/>
        <v>2023</v>
      </c>
      <c r="E133" s="4" t="str">
        <f t="shared" si="13"/>
        <v>Sun</v>
      </c>
      <c r="F133" s="4" t="str">
        <f t="shared" si="14"/>
        <v>Sep</v>
      </c>
      <c r="G133" s="3">
        <v>45179</v>
      </c>
      <c r="H133" s="4" t="s">
        <v>419</v>
      </c>
      <c r="I133" s="4" t="s">
        <v>4</v>
      </c>
      <c r="J133" s="4" t="str" cm="1">
        <f t="array" ref="J133">_xlfn.IFS(K133&gt;=50, "Senior", K133&gt;=30, "Adult", K133&lt;30,"Young Adult")</f>
        <v>Senior</v>
      </c>
      <c r="K133" s="4">
        <v>59</v>
      </c>
      <c r="L133" s="4" t="s">
        <v>8</v>
      </c>
      <c r="M133" s="4">
        <v>4</v>
      </c>
      <c r="N133" s="22">
        <v>50</v>
      </c>
      <c r="O133" s="24">
        <f>M133 * N133</f>
        <v>200</v>
      </c>
      <c r="P133" s="16">
        <f>O133 * $S$3</f>
        <v>3</v>
      </c>
      <c r="Q133" s="16">
        <f>O133 * $S$4</f>
        <v>4</v>
      </c>
    </row>
    <row r="134" spans="1:17">
      <c r="A134" s="2">
        <v>133</v>
      </c>
      <c r="B134" s="4">
        <f t="shared" si="10"/>
        <v>16</v>
      </c>
      <c r="C134" s="4">
        <f t="shared" si="11"/>
        <v>2</v>
      </c>
      <c r="D134" s="4">
        <f t="shared" si="12"/>
        <v>2023</v>
      </c>
      <c r="E134" s="4" t="str">
        <f t="shared" si="13"/>
        <v>Thu</v>
      </c>
      <c r="F134" s="4" t="str">
        <f t="shared" si="14"/>
        <v>Feb</v>
      </c>
      <c r="G134" s="3">
        <v>44973</v>
      </c>
      <c r="H134" s="4" t="s">
        <v>420</v>
      </c>
      <c r="I134" s="4" t="s">
        <v>4</v>
      </c>
      <c r="J134" s="4" t="str" cm="1">
        <f t="array" ref="J134">_xlfn.IFS(K134&gt;=50, "Senior", K134&gt;=30, "Adult", K134&lt;30,"Young Adult")</f>
        <v>Senior</v>
      </c>
      <c r="K134" s="4">
        <v>58</v>
      </c>
      <c r="L134" s="4" t="s">
        <v>8</v>
      </c>
      <c r="M134" s="4">
        <v>3</v>
      </c>
      <c r="N134" s="22">
        <v>300</v>
      </c>
      <c r="O134" s="24">
        <f>M134 * N134</f>
        <v>900</v>
      </c>
      <c r="P134" s="16">
        <f>O134 * $S$3</f>
        <v>13.5</v>
      </c>
      <c r="Q134" s="16">
        <f>O134 * $S$4</f>
        <v>18</v>
      </c>
    </row>
    <row r="135" spans="1:17">
      <c r="A135" s="2">
        <v>134</v>
      </c>
      <c r="B135" s="4">
        <f t="shared" si="10"/>
        <v>25</v>
      </c>
      <c r="C135" s="4">
        <f t="shared" si="11"/>
        <v>1</v>
      </c>
      <c r="D135" s="4">
        <f t="shared" si="12"/>
        <v>2023</v>
      </c>
      <c r="E135" s="4" t="str">
        <f t="shared" si="13"/>
        <v>Wed</v>
      </c>
      <c r="F135" s="4" t="str">
        <f t="shared" si="14"/>
        <v>Jan</v>
      </c>
      <c r="G135" s="3">
        <v>44951</v>
      </c>
      <c r="H135" s="4" t="s">
        <v>421</v>
      </c>
      <c r="I135" s="4" t="s">
        <v>4</v>
      </c>
      <c r="J135" s="4" t="str" cm="1">
        <f t="array" ref="J135">_xlfn.IFS(K135&gt;=50, "Senior", K135&gt;=30, "Adult", K135&lt;30,"Young Adult")</f>
        <v>Senior</v>
      </c>
      <c r="K135" s="4">
        <v>58</v>
      </c>
      <c r="L135" s="4" t="s">
        <v>8</v>
      </c>
      <c r="M135" s="4">
        <v>1</v>
      </c>
      <c r="N135" s="22">
        <v>50</v>
      </c>
      <c r="O135" s="24">
        <f>M135 * N135</f>
        <v>50</v>
      </c>
      <c r="P135" s="16">
        <f>O135 * $S$3</f>
        <v>0.75</v>
      </c>
      <c r="Q135" s="16">
        <f>O135 * $S$4</f>
        <v>1</v>
      </c>
    </row>
    <row r="136" spans="1:17">
      <c r="A136" s="2">
        <v>135</v>
      </c>
      <c r="B136" s="4">
        <f t="shared" si="10"/>
        <v>26</v>
      </c>
      <c r="C136" s="4">
        <f t="shared" si="11"/>
        <v>2</v>
      </c>
      <c r="D136" s="4">
        <f t="shared" si="12"/>
        <v>2023</v>
      </c>
      <c r="E136" s="4" t="str">
        <f t="shared" si="13"/>
        <v>Sun</v>
      </c>
      <c r="F136" s="4" t="str">
        <f t="shared" si="14"/>
        <v>Feb</v>
      </c>
      <c r="G136" s="3">
        <v>44983</v>
      </c>
      <c r="H136" s="4" t="s">
        <v>422</v>
      </c>
      <c r="I136" s="4" t="s">
        <v>4</v>
      </c>
      <c r="J136" s="4" t="str" cm="1">
        <f t="array" ref="J136">_xlfn.IFS(K136&gt;=50, "Senior", K136&gt;=30, "Adult", K136&lt;30,"Young Adult")</f>
        <v>Senior</v>
      </c>
      <c r="K136" s="4">
        <v>58</v>
      </c>
      <c r="L136" s="4" t="s">
        <v>7</v>
      </c>
      <c r="M136" s="4">
        <v>2</v>
      </c>
      <c r="N136" s="22">
        <v>25</v>
      </c>
      <c r="O136" s="24">
        <f>M136 * N136</f>
        <v>50</v>
      </c>
      <c r="P136" s="16">
        <f>O136 * $S$3</f>
        <v>0.75</v>
      </c>
      <c r="Q136" s="16">
        <f>O136 * $S$4</f>
        <v>1</v>
      </c>
    </row>
    <row r="137" spans="1:17">
      <c r="A137" s="2">
        <v>136</v>
      </c>
      <c r="B137" s="4">
        <f t="shared" si="10"/>
        <v>20</v>
      </c>
      <c r="C137" s="4">
        <f t="shared" si="11"/>
        <v>3</v>
      </c>
      <c r="D137" s="4">
        <f t="shared" si="12"/>
        <v>2023</v>
      </c>
      <c r="E137" s="4" t="str">
        <f t="shared" si="13"/>
        <v>Mon</v>
      </c>
      <c r="F137" s="4" t="str">
        <f t="shared" si="14"/>
        <v>Mar</v>
      </c>
      <c r="G137" s="3">
        <v>45005</v>
      </c>
      <c r="H137" s="4" t="s">
        <v>423</v>
      </c>
      <c r="I137" s="4" t="s">
        <v>4</v>
      </c>
      <c r="J137" s="4" t="str" cm="1">
        <f t="array" ref="J137">_xlfn.IFS(K137&gt;=50, "Senior", K137&gt;=30, "Adult", K137&lt;30,"Young Adult")</f>
        <v>Senior</v>
      </c>
      <c r="K137" s="4">
        <v>58</v>
      </c>
      <c r="L137" s="4" t="s">
        <v>8</v>
      </c>
      <c r="M137" s="4">
        <v>2</v>
      </c>
      <c r="N137" s="22">
        <v>300</v>
      </c>
      <c r="O137" s="24">
        <f>M137 * N137</f>
        <v>600</v>
      </c>
      <c r="P137" s="16">
        <f>O137 * $S$3</f>
        <v>9</v>
      </c>
      <c r="Q137" s="16">
        <f>O137 * $S$4</f>
        <v>12</v>
      </c>
    </row>
    <row r="138" spans="1:17">
      <c r="A138" s="2">
        <v>137</v>
      </c>
      <c r="B138" s="4">
        <f t="shared" si="10"/>
        <v>18</v>
      </c>
      <c r="C138" s="4">
        <f t="shared" si="11"/>
        <v>11</v>
      </c>
      <c r="D138" s="4">
        <f t="shared" si="12"/>
        <v>2023</v>
      </c>
      <c r="E138" s="4" t="str">
        <f t="shared" si="13"/>
        <v>Sat</v>
      </c>
      <c r="F138" s="4" t="str">
        <f t="shared" si="14"/>
        <v>Nov</v>
      </c>
      <c r="G138" s="3">
        <v>45248</v>
      </c>
      <c r="H138" s="4" t="s">
        <v>173</v>
      </c>
      <c r="I138" s="4" t="s">
        <v>4</v>
      </c>
      <c r="J138" s="4" t="str" cm="1">
        <f t="array" ref="J138">_xlfn.IFS(K138&gt;=50, "Senior", K138&gt;=30, "Adult", K138&lt;30,"Young Adult")</f>
        <v>Senior</v>
      </c>
      <c r="K138" s="4">
        <v>58</v>
      </c>
      <c r="L138" s="4" t="s">
        <v>6</v>
      </c>
      <c r="M138" s="4">
        <v>2</v>
      </c>
      <c r="N138" s="22">
        <v>500</v>
      </c>
      <c r="O138" s="24">
        <f>M138 * N138</f>
        <v>1000</v>
      </c>
      <c r="P138" s="16">
        <f>O138 * $S$3</f>
        <v>15</v>
      </c>
      <c r="Q138" s="16">
        <f>O138 * $S$4</f>
        <v>20</v>
      </c>
    </row>
    <row r="139" spans="1:17">
      <c r="A139" s="2">
        <v>138</v>
      </c>
      <c r="B139" s="4">
        <f t="shared" si="10"/>
        <v>23</v>
      </c>
      <c r="C139" s="4">
        <f t="shared" si="11"/>
        <v>3</v>
      </c>
      <c r="D139" s="4">
        <f t="shared" si="12"/>
        <v>2023</v>
      </c>
      <c r="E139" s="4" t="str">
        <f t="shared" si="13"/>
        <v>Thu</v>
      </c>
      <c r="F139" s="4" t="str">
        <f t="shared" si="14"/>
        <v>Mar</v>
      </c>
      <c r="G139" s="3">
        <v>45008</v>
      </c>
      <c r="H139" s="4" t="s">
        <v>312</v>
      </c>
      <c r="I139" s="4" t="s">
        <v>4</v>
      </c>
      <c r="J139" s="4" t="str" cm="1">
        <f t="array" ref="J139">_xlfn.IFS(K139&gt;=50, "Senior", K139&gt;=30, "Adult", K139&lt;30,"Young Adult")</f>
        <v>Senior</v>
      </c>
      <c r="K139" s="4">
        <v>58</v>
      </c>
      <c r="L139" s="4" t="s">
        <v>7</v>
      </c>
      <c r="M139" s="4">
        <v>4</v>
      </c>
      <c r="N139" s="22">
        <v>50</v>
      </c>
      <c r="O139" s="24">
        <f>M139 * N139</f>
        <v>200</v>
      </c>
      <c r="P139" s="16">
        <f>O139 * $S$3</f>
        <v>3</v>
      </c>
      <c r="Q139" s="16">
        <f>O139 * $S$4</f>
        <v>4</v>
      </c>
    </row>
    <row r="140" spans="1:17">
      <c r="A140" s="2">
        <v>139</v>
      </c>
      <c r="B140" s="4">
        <f t="shared" si="10"/>
        <v>15</v>
      </c>
      <c r="C140" s="4">
        <f t="shared" si="11"/>
        <v>12</v>
      </c>
      <c r="D140" s="4">
        <f t="shared" si="12"/>
        <v>2023</v>
      </c>
      <c r="E140" s="4" t="str">
        <f t="shared" si="13"/>
        <v>Fri</v>
      </c>
      <c r="F140" s="4" t="str">
        <f t="shared" si="14"/>
        <v>Dec</v>
      </c>
      <c r="G140" s="3">
        <v>45275</v>
      </c>
      <c r="H140" s="4" t="s">
        <v>172</v>
      </c>
      <c r="I140" s="4" t="s">
        <v>4</v>
      </c>
      <c r="J140" s="4" t="str" cm="1">
        <f t="array" ref="J140">_xlfn.IFS(K140&gt;=50, "Senior", K140&gt;=30, "Adult", K140&lt;30,"Young Adult")</f>
        <v>Senior</v>
      </c>
      <c r="K140" s="4">
        <v>58</v>
      </c>
      <c r="L140" s="4" t="s">
        <v>6</v>
      </c>
      <c r="M140" s="4">
        <v>4</v>
      </c>
      <c r="N140" s="22">
        <v>500</v>
      </c>
      <c r="O140" s="24">
        <f>M140 * N140</f>
        <v>2000</v>
      </c>
      <c r="P140" s="16">
        <f>O140 * $S$3</f>
        <v>30</v>
      </c>
      <c r="Q140" s="16">
        <f>O140 * $S$4</f>
        <v>40</v>
      </c>
    </row>
    <row r="141" spans="1:17">
      <c r="A141" s="2">
        <v>140</v>
      </c>
      <c r="B141" s="4">
        <f t="shared" si="10"/>
        <v>5</v>
      </c>
      <c r="C141" s="4">
        <f t="shared" si="11"/>
        <v>8</v>
      </c>
      <c r="D141" s="4">
        <f t="shared" si="12"/>
        <v>2023</v>
      </c>
      <c r="E141" s="4" t="str">
        <f t="shared" si="13"/>
        <v>Sat</v>
      </c>
      <c r="F141" s="4" t="str">
        <f t="shared" si="14"/>
        <v>Aug</v>
      </c>
      <c r="G141" s="3">
        <v>45143</v>
      </c>
      <c r="H141" s="4" t="s">
        <v>424</v>
      </c>
      <c r="I141" s="4" t="s">
        <v>4</v>
      </c>
      <c r="J141" s="4" t="str" cm="1">
        <f t="array" ref="J141">_xlfn.IFS(K141&gt;=50, "Senior", K141&gt;=30, "Adult", K141&lt;30,"Young Adult")</f>
        <v>Senior</v>
      </c>
      <c r="K141" s="4">
        <v>58</v>
      </c>
      <c r="L141" s="4" t="s">
        <v>8</v>
      </c>
      <c r="M141" s="4">
        <v>1</v>
      </c>
      <c r="N141" s="22">
        <v>30</v>
      </c>
      <c r="O141" s="24">
        <f>M141 * N141</f>
        <v>30</v>
      </c>
      <c r="P141" s="16">
        <f>O141 * $S$3</f>
        <v>0.44999999999999996</v>
      </c>
      <c r="Q141" s="16">
        <f>O141 * $S$4</f>
        <v>0.6</v>
      </c>
    </row>
    <row r="142" spans="1:17">
      <c r="A142" s="2">
        <v>141</v>
      </c>
      <c r="B142" s="4">
        <f t="shared" si="10"/>
        <v>2</v>
      </c>
      <c r="C142" s="4">
        <f t="shared" si="11"/>
        <v>11</v>
      </c>
      <c r="D142" s="4">
        <f t="shared" si="12"/>
        <v>2023</v>
      </c>
      <c r="E142" s="4" t="str">
        <f t="shared" si="13"/>
        <v>Thu</v>
      </c>
      <c r="F142" s="4" t="str">
        <f t="shared" si="14"/>
        <v>Nov</v>
      </c>
      <c r="G142" s="3">
        <v>45232</v>
      </c>
      <c r="H142" s="4" t="s">
        <v>425</v>
      </c>
      <c r="I142" s="4" t="s">
        <v>3</v>
      </c>
      <c r="J142" s="4" t="str" cm="1">
        <f t="array" ref="J142">_xlfn.IFS(K142&gt;=50, "Senior", K142&gt;=30, "Adult", K142&lt;30,"Young Adult")</f>
        <v>Senior</v>
      </c>
      <c r="K142" s="4">
        <v>58</v>
      </c>
      <c r="L142" s="4" t="s">
        <v>8</v>
      </c>
      <c r="M142" s="4">
        <v>1</v>
      </c>
      <c r="N142" s="22">
        <v>50</v>
      </c>
      <c r="O142" s="24">
        <f>M142 * N142</f>
        <v>50</v>
      </c>
      <c r="P142" s="16">
        <f>O142 * $S$3</f>
        <v>0.75</v>
      </c>
      <c r="Q142" s="16">
        <f>O142 * $S$4</f>
        <v>1</v>
      </c>
    </row>
    <row r="143" spans="1:17">
      <c r="A143" s="2">
        <v>142</v>
      </c>
      <c r="B143" s="4">
        <f t="shared" si="10"/>
        <v>2</v>
      </c>
      <c r="C143" s="4">
        <f t="shared" si="11"/>
        <v>2</v>
      </c>
      <c r="D143" s="4">
        <f t="shared" si="12"/>
        <v>2023</v>
      </c>
      <c r="E143" s="4" t="str">
        <f t="shared" si="13"/>
        <v>Thu</v>
      </c>
      <c r="F143" s="4" t="str">
        <f t="shared" si="14"/>
        <v>Feb</v>
      </c>
      <c r="G143" s="3">
        <v>44959</v>
      </c>
      <c r="H143" s="4" t="s">
        <v>426</v>
      </c>
      <c r="I143" s="4" t="s">
        <v>4</v>
      </c>
      <c r="J143" s="4" t="str" cm="1">
        <f t="array" ref="J143">_xlfn.IFS(K143&gt;=50, "Senior", K143&gt;=30, "Adult", K143&lt;30,"Young Adult")</f>
        <v>Senior</v>
      </c>
      <c r="K143" s="4">
        <v>58</v>
      </c>
      <c r="L143" s="4" t="s">
        <v>8</v>
      </c>
      <c r="M143" s="4">
        <v>4</v>
      </c>
      <c r="N143" s="22">
        <v>300</v>
      </c>
      <c r="O143" s="24">
        <f>M143 * N143</f>
        <v>1200</v>
      </c>
      <c r="P143" s="16">
        <f>O143 * $S$3</f>
        <v>18</v>
      </c>
      <c r="Q143" s="16">
        <f>O143 * $S$4</f>
        <v>24</v>
      </c>
    </row>
    <row r="144" spans="1:17">
      <c r="A144" s="2">
        <v>143</v>
      </c>
      <c r="B144" s="4">
        <f t="shared" si="10"/>
        <v>17</v>
      </c>
      <c r="C144" s="4">
        <f t="shared" si="11"/>
        <v>7</v>
      </c>
      <c r="D144" s="4">
        <f t="shared" si="12"/>
        <v>2023</v>
      </c>
      <c r="E144" s="4" t="str">
        <f t="shared" si="13"/>
        <v>Mon</v>
      </c>
      <c r="F144" s="4" t="str">
        <f t="shared" si="14"/>
        <v>Jul</v>
      </c>
      <c r="G144" s="3">
        <v>45124</v>
      </c>
      <c r="H144" s="4" t="s">
        <v>317</v>
      </c>
      <c r="I144" s="4" t="s">
        <v>3</v>
      </c>
      <c r="J144" s="4" t="str" cm="1">
        <f t="array" ref="J144">_xlfn.IFS(K144&gt;=50, "Senior", K144&gt;=30, "Adult", K144&lt;30,"Young Adult")</f>
        <v>Senior</v>
      </c>
      <c r="K144" s="4">
        <v>58</v>
      </c>
      <c r="L144" s="4" t="s">
        <v>7</v>
      </c>
      <c r="M144" s="4">
        <v>1</v>
      </c>
      <c r="N144" s="22">
        <v>50</v>
      </c>
      <c r="O144" s="24">
        <f>M144 * N144</f>
        <v>50</v>
      </c>
      <c r="P144" s="16">
        <f>O144 * $S$3</f>
        <v>0.75</v>
      </c>
      <c r="Q144" s="16">
        <f>O144 * $S$4</f>
        <v>1</v>
      </c>
    </row>
    <row r="145" spans="1:17">
      <c r="A145" s="2">
        <v>144</v>
      </c>
      <c r="B145" s="4">
        <f t="shared" si="10"/>
        <v>15</v>
      </c>
      <c r="C145" s="4">
        <f t="shared" si="11"/>
        <v>7</v>
      </c>
      <c r="D145" s="4">
        <f t="shared" si="12"/>
        <v>2023</v>
      </c>
      <c r="E145" s="4" t="str">
        <f t="shared" si="13"/>
        <v>Sat</v>
      </c>
      <c r="F145" s="4" t="str">
        <f t="shared" si="14"/>
        <v>Jul</v>
      </c>
      <c r="G145" s="3">
        <v>45122</v>
      </c>
      <c r="H145" s="4" t="s">
        <v>427</v>
      </c>
      <c r="I145" s="4" t="s">
        <v>3</v>
      </c>
      <c r="J145" s="4" t="str" cm="1">
        <f t="array" ref="J145">_xlfn.IFS(K145&gt;=50, "Senior", K145&gt;=30, "Adult", K145&lt;30,"Young Adult")</f>
        <v>Senior</v>
      </c>
      <c r="K145" s="4">
        <v>58</v>
      </c>
      <c r="L145" s="4" t="s">
        <v>6</v>
      </c>
      <c r="M145" s="4">
        <v>3</v>
      </c>
      <c r="N145" s="22">
        <v>500</v>
      </c>
      <c r="O145" s="24">
        <f>M145 * N145</f>
        <v>1500</v>
      </c>
      <c r="P145" s="16">
        <f>O145 * $S$3</f>
        <v>22.5</v>
      </c>
      <c r="Q145" s="16">
        <f>O145 * $S$4</f>
        <v>30</v>
      </c>
    </row>
    <row r="146" spans="1:17">
      <c r="A146" s="2">
        <v>145</v>
      </c>
      <c r="B146" s="4">
        <f t="shared" si="10"/>
        <v>2</v>
      </c>
      <c r="C146" s="4">
        <f t="shared" si="11"/>
        <v>11</v>
      </c>
      <c r="D146" s="4">
        <f t="shared" si="12"/>
        <v>2023</v>
      </c>
      <c r="E146" s="4" t="str">
        <f t="shared" si="13"/>
        <v>Thu</v>
      </c>
      <c r="F146" s="4" t="str">
        <f t="shared" si="14"/>
        <v>Nov</v>
      </c>
      <c r="G146" s="3">
        <v>45232</v>
      </c>
      <c r="H146" s="4" t="s">
        <v>319</v>
      </c>
      <c r="I146" s="4" t="s">
        <v>3</v>
      </c>
      <c r="J146" s="4" t="str" cm="1">
        <f t="array" ref="J146">_xlfn.IFS(K146&gt;=50, "Senior", K146&gt;=30, "Adult", K146&lt;30,"Young Adult")</f>
        <v>Senior</v>
      </c>
      <c r="K146" s="4">
        <v>58</v>
      </c>
      <c r="L146" s="4" t="s">
        <v>7</v>
      </c>
      <c r="M146" s="4">
        <v>3</v>
      </c>
      <c r="N146" s="22">
        <v>25</v>
      </c>
      <c r="O146" s="24">
        <f>M146 * N146</f>
        <v>75</v>
      </c>
      <c r="P146" s="16">
        <f>O146 * $S$3</f>
        <v>1.125</v>
      </c>
      <c r="Q146" s="16">
        <f>O146 * $S$4</f>
        <v>1.5</v>
      </c>
    </row>
    <row r="147" spans="1:17">
      <c r="A147" s="2">
        <v>146</v>
      </c>
      <c r="B147" s="4">
        <f t="shared" si="10"/>
        <v>28</v>
      </c>
      <c r="C147" s="4">
        <f t="shared" si="11"/>
        <v>8</v>
      </c>
      <c r="D147" s="4">
        <f t="shared" si="12"/>
        <v>2023</v>
      </c>
      <c r="E147" s="4" t="str">
        <f t="shared" si="13"/>
        <v>Mon</v>
      </c>
      <c r="F147" s="4" t="str">
        <f t="shared" si="14"/>
        <v>Aug</v>
      </c>
      <c r="G147" s="3">
        <v>45166</v>
      </c>
      <c r="H147" s="4" t="s">
        <v>320</v>
      </c>
      <c r="I147" s="4" t="s">
        <v>4</v>
      </c>
      <c r="J147" s="4" t="str" cm="1">
        <f t="array" ref="J147">_xlfn.IFS(K147&gt;=50, "Senior", K147&gt;=30, "Adult", K147&lt;30,"Young Adult")</f>
        <v>Senior</v>
      </c>
      <c r="K147" s="4">
        <v>58</v>
      </c>
      <c r="L147" s="4" t="s">
        <v>7</v>
      </c>
      <c r="M147" s="4">
        <v>4</v>
      </c>
      <c r="N147" s="22">
        <v>50</v>
      </c>
      <c r="O147" s="24">
        <f>M147 * N147</f>
        <v>200</v>
      </c>
      <c r="P147" s="16">
        <f>O147 * $S$3</f>
        <v>3</v>
      </c>
      <c r="Q147" s="16">
        <f>O147 * $S$4</f>
        <v>4</v>
      </c>
    </row>
    <row r="148" spans="1:17">
      <c r="A148" s="2">
        <v>147</v>
      </c>
      <c r="B148" s="4">
        <f t="shared" si="10"/>
        <v>28</v>
      </c>
      <c r="C148" s="4">
        <f t="shared" si="11"/>
        <v>9</v>
      </c>
      <c r="D148" s="4">
        <f t="shared" si="12"/>
        <v>2023</v>
      </c>
      <c r="E148" s="4" t="str">
        <f t="shared" si="13"/>
        <v>Thu</v>
      </c>
      <c r="F148" s="4" t="str">
        <f t="shared" si="14"/>
        <v>Sep</v>
      </c>
      <c r="G148" s="3">
        <v>45197</v>
      </c>
      <c r="H148" s="4" t="s">
        <v>428</v>
      </c>
      <c r="I148" s="4" t="s">
        <v>4</v>
      </c>
      <c r="J148" s="4" t="str" cm="1">
        <f t="array" ref="J148">_xlfn.IFS(K148&gt;=50, "Senior", K148&gt;=30, "Adult", K148&lt;30,"Young Adult")</f>
        <v>Senior</v>
      </c>
      <c r="K148" s="4">
        <v>57</v>
      </c>
      <c r="L148" s="4" t="s">
        <v>8</v>
      </c>
      <c r="M148" s="4">
        <v>1</v>
      </c>
      <c r="N148" s="22">
        <v>300</v>
      </c>
      <c r="O148" s="24">
        <f>M148 * N148</f>
        <v>300</v>
      </c>
      <c r="P148" s="16">
        <f>O148 * $S$3</f>
        <v>4.5</v>
      </c>
      <c r="Q148" s="16">
        <f>O148 * $S$4</f>
        <v>6</v>
      </c>
    </row>
    <row r="149" spans="1:17">
      <c r="A149" s="2">
        <v>148</v>
      </c>
      <c r="B149" s="4">
        <f t="shared" si="10"/>
        <v>9</v>
      </c>
      <c r="C149" s="4">
        <f t="shared" si="11"/>
        <v>5</v>
      </c>
      <c r="D149" s="4">
        <f t="shared" si="12"/>
        <v>2023</v>
      </c>
      <c r="E149" s="4" t="str">
        <f t="shared" si="13"/>
        <v>Tue</v>
      </c>
      <c r="F149" s="4" t="str">
        <f t="shared" si="14"/>
        <v>May</v>
      </c>
      <c r="G149" s="3">
        <v>45055</v>
      </c>
      <c r="H149" s="4" t="s">
        <v>429</v>
      </c>
      <c r="I149" s="4" t="s">
        <v>4</v>
      </c>
      <c r="J149" s="4" t="str" cm="1">
        <f t="array" ref="J149">_xlfn.IFS(K149&gt;=50, "Senior", K149&gt;=30, "Adult", K149&lt;30,"Young Adult")</f>
        <v>Senior</v>
      </c>
      <c r="K149" s="4">
        <v>57</v>
      </c>
      <c r="L149" s="4" t="s">
        <v>7</v>
      </c>
      <c r="M149" s="4">
        <v>2</v>
      </c>
      <c r="N149" s="22">
        <v>30</v>
      </c>
      <c r="O149" s="24">
        <f>M149 * N149</f>
        <v>60</v>
      </c>
      <c r="P149" s="16">
        <f>O149 * $S$3</f>
        <v>0.89999999999999991</v>
      </c>
      <c r="Q149" s="16">
        <f>O149 * $S$4</f>
        <v>1.2</v>
      </c>
    </row>
    <row r="150" spans="1:17">
      <c r="A150" s="2">
        <v>149</v>
      </c>
      <c r="B150" s="4">
        <f t="shared" si="10"/>
        <v>11</v>
      </c>
      <c r="C150" s="4">
        <f t="shared" si="11"/>
        <v>10</v>
      </c>
      <c r="D150" s="4">
        <f t="shared" si="12"/>
        <v>2023</v>
      </c>
      <c r="E150" s="4" t="str">
        <f t="shared" si="13"/>
        <v>Wed</v>
      </c>
      <c r="F150" s="4" t="str">
        <f t="shared" si="14"/>
        <v>Oct</v>
      </c>
      <c r="G150" s="3">
        <v>45210</v>
      </c>
      <c r="H150" s="4" t="s">
        <v>430</v>
      </c>
      <c r="I150" s="4" t="s">
        <v>4</v>
      </c>
      <c r="J150" s="4" t="str" cm="1">
        <f t="array" ref="J150">_xlfn.IFS(K150&gt;=50, "Senior", K150&gt;=30, "Adult", K150&lt;30,"Young Adult")</f>
        <v>Senior</v>
      </c>
      <c r="K150" s="4">
        <v>57</v>
      </c>
      <c r="L150" s="4" t="s">
        <v>7</v>
      </c>
      <c r="M150" s="4">
        <v>3</v>
      </c>
      <c r="N150" s="22">
        <v>25</v>
      </c>
      <c r="O150" s="24">
        <f>M150 * N150</f>
        <v>75</v>
      </c>
      <c r="P150" s="16">
        <f>O150 * $S$3</f>
        <v>1.125</v>
      </c>
      <c r="Q150" s="16">
        <f>O150 * $S$4</f>
        <v>1.5</v>
      </c>
    </row>
    <row r="151" spans="1:17">
      <c r="A151" s="2">
        <v>150</v>
      </c>
      <c r="B151" s="4">
        <f t="shared" si="10"/>
        <v>6</v>
      </c>
      <c r="C151" s="4">
        <f t="shared" si="11"/>
        <v>1</v>
      </c>
      <c r="D151" s="4">
        <f t="shared" si="12"/>
        <v>2023</v>
      </c>
      <c r="E151" s="4" t="str">
        <f t="shared" si="13"/>
        <v>Fri</v>
      </c>
      <c r="F151" s="4" t="str">
        <f t="shared" si="14"/>
        <v>Jan</v>
      </c>
      <c r="G151" s="3">
        <v>44932</v>
      </c>
      <c r="H151" s="4" t="s">
        <v>431</v>
      </c>
      <c r="I151" s="4" t="s">
        <v>3</v>
      </c>
      <c r="J151" s="4" t="str" cm="1">
        <f t="array" ref="J151">_xlfn.IFS(K151&gt;=50, "Senior", K151&gt;=30, "Adult", K151&lt;30,"Young Adult")</f>
        <v>Senior</v>
      </c>
      <c r="K151" s="4">
        <v>57</v>
      </c>
      <c r="L151" s="4" t="s">
        <v>8</v>
      </c>
      <c r="M151" s="4">
        <v>4</v>
      </c>
      <c r="N151" s="22">
        <v>30</v>
      </c>
      <c r="O151" s="24">
        <f>M151 * N151</f>
        <v>120</v>
      </c>
      <c r="P151" s="16">
        <f>O151 * $S$3</f>
        <v>1.7999999999999998</v>
      </c>
      <c r="Q151" s="16">
        <f>O151 * $S$4</f>
        <v>2.4</v>
      </c>
    </row>
    <row r="152" spans="1:17">
      <c r="A152" s="2">
        <v>151</v>
      </c>
      <c r="B152" s="4">
        <f t="shared" si="10"/>
        <v>15</v>
      </c>
      <c r="C152" s="4">
        <f t="shared" si="11"/>
        <v>12</v>
      </c>
      <c r="D152" s="4">
        <f t="shared" si="12"/>
        <v>2023</v>
      </c>
      <c r="E152" s="4" t="str">
        <f t="shared" si="13"/>
        <v>Fri</v>
      </c>
      <c r="F152" s="4" t="str">
        <f t="shared" si="14"/>
        <v>Dec</v>
      </c>
      <c r="G152" s="3">
        <v>45275</v>
      </c>
      <c r="H152" s="4" t="s">
        <v>432</v>
      </c>
      <c r="I152" s="4" t="s">
        <v>4</v>
      </c>
      <c r="J152" s="4" t="str" cm="1">
        <f t="array" ref="J152">_xlfn.IFS(K152&gt;=50, "Senior", K152&gt;=30, "Adult", K152&lt;30,"Young Adult")</f>
        <v>Senior</v>
      </c>
      <c r="K152" s="4">
        <v>57</v>
      </c>
      <c r="L152" s="4" t="s">
        <v>7</v>
      </c>
      <c r="M152" s="4">
        <v>1</v>
      </c>
      <c r="N152" s="22">
        <v>50</v>
      </c>
      <c r="O152" s="24">
        <f>M152 * N152</f>
        <v>50</v>
      </c>
      <c r="P152" s="16">
        <f>O152 * $S$3</f>
        <v>0.75</v>
      </c>
      <c r="Q152" s="16">
        <f>O152 * $S$4</f>
        <v>1</v>
      </c>
    </row>
    <row r="153" spans="1:17">
      <c r="A153" s="2">
        <v>152</v>
      </c>
      <c r="B153" s="4">
        <f t="shared" si="10"/>
        <v>28</v>
      </c>
      <c r="C153" s="4">
        <f t="shared" si="11"/>
        <v>2</v>
      </c>
      <c r="D153" s="4">
        <f t="shared" si="12"/>
        <v>2023</v>
      </c>
      <c r="E153" s="4" t="str">
        <f t="shared" si="13"/>
        <v>Tue</v>
      </c>
      <c r="F153" s="4" t="str">
        <f t="shared" si="14"/>
        <v>Feb</v>
      </c>
      <c r="G153" s="3">
        <v>44985</v>
      </c>
      <c r="H153" s="4" t="s">
        <v>433</v>
      </c>
      <c r="I153" s="4" t="s">
        <v>4</v>
      </c>
      <c r="J153" s="4" t="str" cm="1">
        <f t="array" ref="J153">_xlfn.IFS(K153&gt;=50, "Senior", K153&gt;=30, "Adult", K153&lt;30,"Young Adult")</f>
        <v>Senior</v>
      </c>
      <c r="K153" s="4">
        <v>57</v>
      </c>
      <c r="L153" s="4" t="s">
        <v>8</v>
      </c>
      <c r="M153" s="4">
        <v>4</v>
      </c>
      <c r="N153" s="22">
        <v>500</v>
      </c>
      <c r="O153" s="24">
        <f>M153 * N153</f>
        <v>2000</v>
      </c>
      <c r="P153" s="16">
        <f>O153 * $S$3</f>
        <v>30</v>
      </c>
      <c r="Q153" s="16">
        <f>O153 * $S$4</f>
        <v>40</v>
      </c>
    </row>
    <row r="154" spans="1:17">
      <c r="A154" s="2">
        <v>153</v>
      </c>
      <c r="B154" s="4">
        <f t="shared" si="10"/>
        <v>16</v>
      </c>
      <c r="C154" s="4">
        <f t="shared" si="11"/>
        <v>12</v>
      </c>
      <c r="D154" s="4">
        <f t="shared" si="12"/>
        <v>2023</v>
      </c>
      <c r="E154" s="4" t="str">
        <f t="shared" si="13"/>
        <v>Sat</v>
      </c>
      <c r="F154" s="4" t="str">
        <f t="shared" si="14"/>
        <v>Dec</v>
      </c>
      <c r="G154" s="3">
        <v>45276</v>
      </c>
      <c r="H154" s="4" t="s">
        <v>434</v>
      </c>
      <c r="I154" s="4" t="s">
        <v>4</v>
      </c>
      <c r="J154" s="4" t="str" cm="1">
        <f t="array" ref="J154">_xlfn.IFS(K154&gt;=50, "Senior", K154&gt;=30, "Adult", K154&lt;30,"Young Adult")</f>
        <v>Senior</v>
      </c>
      <c r="K154" s="4">
        <v>57</v>
      </c>
      <c r="L154" s="4" t="s">
        <v>8</v>
      </c>
      <c r="M154" s="4">
        <v>2</v>
      </c>
      <c r="N154" s="22">
        <v>500</v>
      </c>
      <c r="O154" s="24">
        <f>M154 * N154</f>
        <v>1000</v>
      </c>
      <c r="P154" s="16">
        <f>O154 * $S$3</f>
        <v>15</v>
      </c>
      <c r="Q154" s="16">
        <f>O154 * $S$4</f>
        <v>20</v>
      </c>
    </row>
    <row r="155" spans="1:17">
      <c r="A155" s="2">
        <v>154</v>
      </c>
      <c r="B155" s="4">
        <f t="shared" si="10"/>
        <v>2</v>
      </c>
      <c r="C155" s="4">
        <f t="shared" si="11"/>
        <v>10</v>
      </c>
      <c r="D155" s="4">
        <f t="shared" si="12"/>
        <v>2023</v>
      </c>
      <c r="E155" s="4" t="str">
        <f t="shared" si="13"/>
        <v>Mon</v>
      </c>
      <c r="F155" s="4" t="str">
        <f t="shared" si="14"/>
        <v>Oct</v>
      </c>
      <c r="G155" s="3">
        <v>45201</v>
      </c>
      <c r="H155" s="4" t="s">
        <v>435</v>
      </c>
      <c r="I155" s="4" t="s">
        <v>4</v>
      </c>
      <c r="J155" s="4" t="str" cm="1">
        <f t="array" ref="J155">_xlfn.IFS(K155&gt;=50, "Senior", K155&gt;=30, "Adult", K155&lt;30,"Young Adult")</f>
        <v>Senior</v>
      </c>
      <c r="K155" s="4">
        <v>57</v>
      </c>
      <c r="L155" s="4" t="s">
        <v>8</v>
      </c>
      <c r="M155" s="4">
        <v>3</v>
      </c>
      <c r="N155" s="22">
        <v>300</v>
      </c>
      <c r="O155" s="24">
        <f>M155 * N155</f>
        <v>900</v>
      </c>
      <c r="P155" s="16">
        <f>O155 * $S$3</f>
        <v>13.5</v>
      </c>
      <c r="Q155" s="16">
        <f>O155 * $S$4</f>
        <v>18</v>
      </c>
    </row>
    <row r="156" spans="1:17">
      <c r="A156" s="2">
        <v>155</v>
      </c>
      <c r="B156" s="4">
        <f t="shared" si="10"/>
        <v>17</v>
      </c>
      <c r="C156" s="4">
        <f t="shared" si="11"/>
        <v>5</v>
      </c>
      <c r="D156" s="4">
        <f t="shared" si="12"/>
        <v>2023</v>
      </c>
      <c r="E156" s="4" t="str">
        <f t="shared" si="13"/>
        <v>Wed</v>
      </c>
      <c r="F156" s="4" t="str">
        <f t="shared" si="14"/>
        <v>May</v>
      </c>
      <c r="G156" s="3">
        <v>45063</v>
      </c>
      <c r="H156" s="4" t="s">
        <v>436</v>
      </c>
      <c r="I156" s="4" t="s">
        <v>4</v>
      </c>
      <c r="J156" s="4" t="str" cm="1">
        <f t="array" ref="J156">_xlfn.IFS(K156&gt;=50, "Senior", K156&gt;=30, "Adult", K156&lt;30,"Young Adult")</f>
        <v>Senior</v>
      </c>
      <c r="K156" s="4">
        <v>57</v>
      </c>
      <c r="L156" s="4" t="s">
        <v>8</v>
      </c>
      <c r="M156" s="4">
        <v>4</v>
      </c>
      <c r="N156" s="22">
        <v>500</v>
      </c>
      <c r="O156" s="24">
        <f>M156 * N156</f>
        <v>2000</v>
      </c>
      <c r="P156" s="16">
        <f>O156 * $S$3</f>
        <v>30</v>
      </c>
      <c r="Q156" s="16">
        <f>O156 * $S$4</f>
        <v>40</v>
      </c>
    </row>
    <row r="157" spans="1:17">
      <c r="A157" s="2">
        <v>156</v>
      </c>
      <c r="B157" s="4">
        <f t="shared" si="10"/>
        <v>25</v>
      </c>
      <c r="C157" s="4">
        <f t="shared" si="11"/>
        <v>11</v>
      </c>
      <c r="D157" s="4">
        <f t="shared" si="12"/>
        <v>2023</v>
      </c>
      <c r="E157" s="4" t="str">
        <f t="shared" si="13"/>
        <v>Sat</v>
      </c>
      <c r="F157" s="4" t="str">
        <f t="shared" si="14"/>
        <v>Nov</v>
      </c>
      <c r="G157" s="3">
        <v>45255</v>
      </c>
      <c r="H157" s="4" t="s">
        <v>321</v>
      </c>
      <c r="I157" s="4" t="s">
        <v>3</v>
      </c>
      <c r="J157" s="4" t="str" cm="1">
        <f t="array" ref="J157">_xlfn.IFS(K157&gt;=50, "Senior", K157&gt;=30, "Adult", K157&lt;30,"Young Adult")</f>
        <v>Senior</v>
      </c>
      <c r="K157" s="4">
        <v>57</v>
      </c>
      <c r="L157" s="4" t="s">
        <v>7</v>
      </c>
      <c r="M157" s="4">
        <v>4</v>
      </c>
      <c r="N157" s="22">
        <v>25</v>
      </c>
      <c r="O157" s="24">
        <f>M157 * N157</f>
        <v>100</v>
      </c>
      <c r="P157" s="16">
        <f>O157 * $S$3</f>
        <v>1.5</v>
      </c>
      <c r="Q157" s="16">
        <f>O157 * $S$4</f>
        <v>2</v>
      </c>
    </row>
    <row r="158" spans="1:17">
      <c r="A158" s="2">
        <v>157</v>
      </c>
      <c r="B158" s="4">
        <f t="shared" si="10"/>
        <v>24</v>
      </c>
      <c r="C158" s="4">
        <f t="shared" si="11"/>
        <v>6</v>
      </c>
      <c r="D158" s="4">
        <f t="shared" si="12"/>
        <v>2023</v>
      </c>
      <c r="E158" s="4" t="str">
        <f t="shared" si="13"/>
        <v>Sat</v>
      </c>
      <c r="F158" s="4" t="str">
        <f t="shared" si="14"/>
        <v>Jun</v>
      </c>
      <c r="G158" s="3">
        <v>45101</v>
      </c>
      <c r="H158" s="4" t="s">
        <v>437</v>
      </c>
      <c r="I158" s="4" t="s">
        <v>4</v>
      </c>
      <c r="J158" s="4" t="str" cm="1">
        <f t="array" ref="J158">_xlfn.IFS(K158&gt;=50, "Senior", K158&gt;=30, "Adult", K158&lt;30,"Young Adult")</f>
        <v>Senior</v>
      </c>
      <c r="K158" s="4">
        <v>57</v>
      </c>
      <c r="L158" s="4" t="s">
        <v>8</v>
      </c>
      <c r="M158" s="4">
        <v>4</v>
      </c>
      <c r="N158" s="22">
        <v>500</v>
      </c>
      <c r="O158" s="24">
        <f>M158 * N158</f>
        <v>2000</v>
      </c>
      <c r="P158" s="16">
        <f>O158 * $S$3</f>
        <v>30</v>
      </c>
      <c r="Q158" s="16">
        <f>O158 * $S$4</f>
        <v>40</v>
      </c>
    </row>
    <row r="159" spans="1:17">
      <c r="A159" s="2">
        <v>158</v>
      </c>
      <c r="B159" s="4">
        <f t="shared" si="10"/>
        <v>27</v>
      </c>
      <c r="C159" s="4">
        <f t="shared" si="11"/>
        <v>2</v>
      </c>
      <c r="D159" s="4">
        <f t="shared" si="12"/>
        <v>2023</v>
      </c>
      <c r="E159" s="4" t="str">
        <f t="shared" si="13"/>
        <v>Mon</v>
      </c>
      <c r="F159" s="4" t="str">
        <f t="shared" si="14"/>
        <v>Feb</v>
      </c>
      <c r="G159" s="3">
        <v>44984</v>
      </c>
      <c r="H159" s="4" t="s">
        <v>438</v>
      </c>
      <c r="I159" s="4" t="s">
        <v>3</v>
      </c>
      <c r="J159" s="4" t="str" cm="1">
        <f t="array" ref="J159">_xlfn.IFS(K159&gt;=50, "Senior", K159&gt;=30, "Adult", K159&lt;30,"Young Adult")</f>
        <v>Senior</v>
      </c>
      <c r="K159" s="4">
        <v>57</v>
      </c>
      <c r="L159" s="4" t="s">
        <v>8</v>
      </c>
      <c r="M159" s="4">
        <v>2</v>
      </c>
      <c r="N159" s="22">
        <v>300</v>
      </c>
      <c r="O159" s="24">
        <f>M159 * N159</f>
        <v>600</v>
      </c>
      <c r="P159" s="16">
        <f>O159 * $S$3</f>
        <v>9</v>
      </c>
      <c r="Q159" s="16">
        <f>O159 * $S$4</f>
        <v>12</v>
      </c>
    </row>
    <row r="160" spans="1:17">
      <c r="A160" s="2">
        <v>159</v>
      </c>
      <c r="B160" s="4">
        <f t="shared" si="10"/>
        <v>31</v>
      </c>
      <c r="C160" s="4">
        <f t="shared" si="11"/>
        <v>5</v>
      </c>
      <c r="D160" s="4">
        <f t="shared" si="12"/>
        <v>2023</v>
      </c>
      <c r="E160" s="4" t="str">
        <f t="shared" si="13"/>
        <v>Wed</v>
      </c>
      <c r="F160" s="4" t="str">
        <f t="shared" si="14"/>
        <v>May</v>
      </c>
      <c r="G160" s="3">
        <v>45077</v>
      </c>
      <c r="H160" s="4" t="s">
        <v>439</v>
      </c>
      <c r="I160" s="4" t="s">
        <v>4</v>
      </c>
      <c r="J160" s="4" t="str" cm="1">
        <f t="array" ref="J160">_xlfn.IFS(K160&gt;=50, "Senior", K160&gt;=30, "Adult", K160&lt;30,"Young Adult")</f>
        <v>Senior</v>
      </c>
      <c r="K160" s="4">
        <v>57</v>
      </c>
      <c r="L160" s="4" t="s">
        <v>7</v>
      </c>
      <c r="M160" s="4">
        <v>4</v>
      </c>
      <c r="N160" s="22">
        <v>50</v>
      </c>
      <c r="O160" s="24">
        <f>M160 * N160</f>
        <v>200</v>
      </c>
      <c r="P160" s="16">
        <f>O160 * $S$3</f>
        <v>3</v>
      </c>
      <c r="Q160" s="16">
        <f>O160 * $S$4</f>
        <v>4</v>
      </c>
    </row>
    <row r="161" spans="1:17">
      <c r="A161" s="2">
        <v>160</v>
      </c>
      <c r="B161" s="4">
        <f t="shared" si="10"/>
        <v>11</v>
      </c>
      <c r="C161" s="4">
        <f t="shared" si="11"/>
        <v>8</v>
      </c>
      <c r="D161" s="4">
        <f t="shared" si="12"/>
        <v>2023</v>
      </c>
      <c r="E161" s="4" t="str">
        <f t="shared" si="13"/>
        <v>Fri</v>
      </c>
      <c r="F161" s="4" t="str">
        <f t="shared" si="14"/>
        <v>Aug</v>
      </c>
      <c r="G161" s="3">
        <v>45149</v>
      </c>
      <c r="H161" s="4" t="s">
        <v>318</v>
      </c>
      <c r="I161" s="4" t="s">
        <v>3</v>
      </c>
      <c r="J161" s="4" t="str" cm="1">
        <f t="array" ref="J161">_xlfn.IFS(K161&gt;=50, "Senior", K161&gt;=30, "Adult", K161&lt;30,"Young Adult")</f>
        <v>Senior</v>
      </c>
      <c r="K161" s="4">
        <v>57</v>
      </c>
      <c r="L161" s="4" t="s">
        <v>7</v>
      </c>
      <c r="M161" s="4">
        <v>2</v>
      </c>
      <c r="N161" s="22">
        <v>50</v>
      </c>
      <c r="O161" s="24">
        <f>M161 * N161</f>
        <v>100</v>
      </c>
      <c r="P161" s="16">
        <f>O161 * $S$3</f>
        <v>1.5</v>
      </c>
      <c r="Q161" s="16">
        <f>O161 * $S$4</f>
        <v>2</v>
      </c>
    </row>
    <row r="162" spans="1:17">
      <c r="A162" s="2">
        <v>161</v>
      </c>
      <c r="B162" s="4">
        <f t="shared" si="10"/>
        <v>22</v>
      </c>
      <c r="C162" s="4">
        <f t="shared" si="11"/>
        <v>3</v>
      </c>
      <c r="D162" s="4">
        <f t="shared" si="12"/>
        <v>2023</v>
      </c>
      <c r="E162" s="4" t="str">
        <f t="shared" si="13"/>
        <v>Wed</v>
      </c>
      <c r="F162" s="4" t="str">
        <f t="shared" si="14"/>
        <v>Mar</v>
      </c>
      <c r="G162" s="3">
        <v>45007</v>
      </c>
      <c r="H162" s="4" t="s">
        <v>440</v>
      </c>
      <c r="I162" s="4" t="s">
        <v>4</v>
      </c>
      <c r="J162" s="4" t="str" cm="1">
        <f t="array" ref="J162">_xlfn.IFS(K162&gt;=50, "Senior", K162&gt;=30, "Adult", K162&lt;30,"Young Adult")</f>
        <v>Senior</v>
      </c>
      <c r="K162" s="4">
        <v>57</v>
      </c>
      <c r="L162" s="4" t="s">
        <v>6</v>
      </c>
      <c r="M162" s="4">
        <v>2</v>
      </c>
      <c r="N162" s="22">
        <v>500</v>
      </c>
      <c r="O162" s="24">
        <f>M162 * N162</f>
        <v>1000</v>
      </c>
      <c r="P162" s="16">
        <f>O162 * $S$3</f>
        <v>15</v>
      </c>
      <c r="Q162" s="16">
        <f>O162 * $S$4</f>
        <v>20</v>
      </c>
    </row>
    <row r="163" spans="1:17">
      <c r="A163" s="2">
        <v>162</v>
      </c>
      <c r="B163" s="4">
        <f t="shared" si="10"/>
        <v>21</v>
      </c>
      <c r="C163" s="4">
        <f t="shared" si="11"/>
        <v>8</v>
      </c>
      <c r="D163" s="4">
        <f t="shared" si="12"/>
        <v>2023</v>
      </c>
      <c r="E163" s="4" t="str">
        <f t="shared" si="13"/>
        <v>Mon</v>
      </c>
      <c r="F163" s="4" t="str">
        <f t="shared" si="14"/>
        <v>Aug</v>
      </c>
      <c r="G163" s="3">
        <v>45159</v>
      </c>
      <c r="H163" s="4" t="s">
        <v>316</v>
      </c>
      <c r="I163" s="4" t="s">
        <v>4</v>
      </c>
      <c r="J163" s="4" t="str" cm="1">
        <f t="array" ref="J163">_xlfn.IFS(K163&gt;=50, "Senior", K163&gt;=30, "Adult", K163&lt;30,"Young Adult")</f>
        <v>Senior</v>
      </c>
      <c r="K163" s="4">
        <v>57</v>
      </c>
      <c r="L163" s="4" t="s">
        <v>7</v>
      </c>
      <c r="M163" s="4">
        <v>2</v>
      </c>
      <c r="N163" s="22">
        <v>30</v>
      </c>
      <c r="O163" s="24">
        <f>M163 * N163</f>
        <v>60</v>
      </c>
      <c r="P163" s="16">
        <f>O163 * $S$3</f>
        <v>0.89999999999999991</v>
      </c>
      <c r="Q163" s="16">
        <f>O163 * $S$4</f>
        <v>1.2</v>
      </c>
    </row>
    <row r="164" spans="1:17">
      <c r="A164" s="2">
        <v>163</v>
      </c>
      <c r="B164" s="4">
        <f t="shared" si="10"/>
        <v>2</v>
      </c>
      <c r="C164" s="4">
        <f t="shared" si="11"/>
        <v>1</v>
      </c>
      <c r="D164" s="4">
        <f t="shared" si="12"/>
        <v>2023</v>
      </c>
      <c r="E164" s="4" t="str">
        <f t="shared" si="13"/>
        <v>Mon</v>
      </c>
      <c r="F164" s="4" t="str">
        <f t="shared" si="14"/>
        <v>Jan</v>
      </c>
      <c r="G164" s="3">
        <v>44928</v>
      </c>
      <c r="H164" s="4" t="s">
        <v>441</v>
      </c>
      <c r="I164" s="4" t="s">
        <v>3</v>
      </c>
      <c r="J164" s="4" t="str" cm="1">
        <f t="array" ref="J164">_xlfn.IFS(K164&gt;=50, "Senior", K164&gt;=30, "Adult", K164&lt;30,"Young Adult")</f>
        <v>Senior</v>
      </c>
      <c r="K164" s="4">
        <v>57</v>
      </c>
      <c r="L164" s="4" t="s">
        <v>7</v>
      </c>
      <c r="M164" s="4">
        <v>3</v>
      </c>
      <c r="N164" s="22">
        <v>50</v>
      </c>
      <c r="O164" s="24">
        <f>M164 * N164</f>
        <v>150</v>
      </c>
      <c r="P164" s="16">
        <f>O164 * $S$3</f>
        <v>2.25</v>
      </c>
      <c r="Q164" s="16">
        <f>O164 * $S$4</f>
        <v>3</v>
      </c>
    </row>
    <row r="165" spans="1:17">
      <c r="A165" s="2">
        <v>164</v>
      </c>
      <c r="B165" s="4">
        <f t="shared" si="10"/>
        <v>15</v>
      </c>
      <c r="C165" s="4">
        <f t="shared" si="11"/>
        <v>5</v>
      </c>
      <c r="D165" s="4">
        <f t="shared" si="12"/>
        <v>2023</v>
      </c>
      <c r="E165" s="4" t="str">
        <f t="shared" si="13"/>
        <v>Mon</v>
      </c>
      <c r="F165" s="4" t="str">
        <f t="shared" si="14"/>
        <v>May</v>
      </c>
      <c r="G165" s="3">
        <v>45061</v>
      </c>
      <c r="H165" s="4" t="s">
        <v>171</v>
      </c>
      <c r="I165" s="4" t="s">
        <v>3</v>
      </c>
      <c r="J165" s="4" t="str" cm="1">
        <f t="array" ref="J165">_xlfn.IFS(K165&gt;=50, "Senior", K165&gt;=30, "Adult", K165&lt;30,"Young Adult")</f>
        <v>Senior</v>
      </c>
      <c r="K165" s="4">
        <v>57</v>
      </c>
      <c r="L165" s="4" t="s">
        <v>6</v>
      </c>
      <c r="M165" s="4">
        <v>3</v>
      </c>
      <c r="N165" s="22">
        <v>500</v>
      </c>
      <c r="O165" s="24">
        <f>M165 * N165</f>
        <v>1500</v>
      </c>
      <c r="P165" s="16">
        <f>O165 * $S$3</f>
        <v>22.5</v>
      </c>
      <c r="Q165" s="16">
        <f>O165 * $S$4</f>
        <v>30</v>
      </c>
    </row>
    <row r="166" spans="1:17">
      <c r="A166" s="2">
        <v>165</v>
      </c>
      <c r="B166" s="4">
        <f t="shared" si="10"/>
        <v>14</v>
      </c>
      <c r="C166" s="4">
        <f t="shared" si="11"/>
        <v>9</v>
      </c>
      <c r="D166" s="4">
        <f t="shared" si="12"/>
        <v>2023</v>
      </c>
      <c r="E166" s="4" t="str">
        <f t="shared" si="13"/>
        <v>Thu</v>
      </c>
      <c r="F166" s="4" t="str">
        <f t="shared" si="14"/>
        <v>Sep</v>
      </c>
      <c r="G166" s="3">
        <v>45183</v>
      </c>
      <c r="H166" s="4" t="s">
        <v>442</v>
      </c>
      <c r="I166" s="4" t="s">
        <v>3</v>
      </c>
      <c r="J166" s="4" t="str" cm="1">
        <f t="array" ref="J166">_xlfn.IFS(K166&gt;=50, "Senior", K166&gt;=30, "Adult", K166&lt;30,"Young Adult")</f>
        <v>Senior</v>
      </c>
      <c r="K166" s="4">
        <v>57</v>
      </c>
      <c r="L166" s="4" t="s">
        <v>7</v>
      </c>
      <c r="M166" s="4">
        <v>4</v>
      </c>
      <c r="N166" s="22">
        <v>300</v>
      </c>
      <c r="O166" s="24">
        <f>M166 * N166</f>
        <v>1200</v>
      </c>
      <c r="P166" s="16">
        <f>O166 * $S$3</f>
        <v>18</v>
      </c>
      <c r="Q166" s="16">
        <f>O166 * $S$4</f>
        <v>24</v>
      </c>
    </row>
    <row r="167" spans="1:17">
      <c r="A167" s="2">
        <v>166</v>
      </c>
      <c r="B167" s="4">
        <f t="shared" si="10"/>
        <v>2</v>
      </c>
      <c r="C167" s="4">
        <f t="shared" si="11"/>
        <v>4</v>
      </c>
      <c r="D167" s="4">
        <f t="shared" si="12"/>
        <v>2023</v>
      </c>
      <c r="E167" s="4" t="str">
        <f t="shared" si="13"/>
        <v>Sun</v>
      </c>
      <c r="F167" s="4" t="str">
        <f t="shared" si="14"/>
        <v>Apr</v>
      </c>
      <c r="G167" s="3">
        <v>45018</v>
      </c>
      <c r="H167" s="4" t="s">
        <v>315</v>
      </c>
      <c r="I167" s="4" t="s">
        <v>4</v>
      </c>
      <c r="J167" s="4" t="str" cm="1">
        <f t="array" ref="J167">_xlfn.IFS(K167&gt;=50, "Senior", K167&gt;=30, "Adult", K167&lt;30,"Young Adult")</f>
        <v>Senior</v>
      </c>
      <c r="K167" s="4">
        <v>57</v>
      </c>
      <c r="L167" s="4" t="s">
        <v>7</v>
      </c>
      <c r="M167" s="4">
        <v>4</v>
      </c>
      <c r="N167" s="22">
        <v>500</v>
      </c>
      <c r="O167" s="24">
        <f>M167 * N167</f>
        <v>2000</v>
      </c>
      <c r="P167" s="16">
        <f>O167 * $S$3</f>
        <v>30</v>
      </c>
      <c r="Q167" s="16">
        <f>O167 * $S$4</f>
        <v>40</v>
      </c>
    </row>
    <row r="168" spans="1:17">
      <c r="A168" s="2">
        <v>167</v>
      </c>
      <c r="B168" s="4">
        <f t="shared" si="10"/>
        <v>17</v>
      </c>
      <c r="C168" s="4">
        <f t="shared" si="11"/>
        <v>9</v>
      </c>
      <c r="D168" s="4">
        <f t="shared" si="12"/>
        <v>2023</v>
      </c>
      <c r="E168" s="4" t="str">
        <f t="shared" si="13"/>
        <v>Sun</v>
      </c>
      <c r="F168" s="4" t="str">
        <f t="shared" si="14"/>
        <v>Sep</v>
      </c>
      <c r="G168" s="3">
        <v>45186</v>
      </c>
      <c r="H168" s="4" t="s">
        <v>314</v>
      </c>
      <c r="I168" s="4" t="s">
        <v>3</v>
      </c>
      <c r="J168" s="4" t="str" cm="1">
        <f t="array" ref="J168">_xlfn.IFS(K168&gt;=50, "Senior", K168&gt;=30, "Adult", K168&lt;30,"Young Adult")</f>
        <v>Senior</v>
      </c>
      <c r="K168" s="4">
        <v>57</v>
      </c>
      <c r="L168" s="4" t="s">
        <v>7</v>
      </c>
      <c r="M168" s="4">
        <v>3</v>
      </c>
      <c r="N168" s="22">
        <v>50</v>
      </c>
      <c r="O168" s="24">
        <f>M168 * N168</f>
        <v>150</v>
      </c>
      <c r="P168" s="16">
        <f>O168 * $S$3</f>
        <v>2.25</v>
      </c>
      <c r="Q168" s="16">
        <f>O168 * $S$4</f>
        <v>3</v>
      </c>
    </row>
    <row r="169" spans="1:17">
      <c r="A169" s="2">
        <v>168</v>
      </c>
      <c r="B169" s="4">
        <f t="shared" si="10"/>
        <v>24</v>
      </c>
      <c r="C169" s="4">
        <f t="shared" si="11"/>
        <v>2</v>
      </c>
      <c r="D169" s="4">
        <f t="shared" si="12"/>
        <v>2023</v>
      </c>
      <c r="E169" s="4" t="str">
        <f t="shared" si="13"/>
        <v>Fri</v>
      </c>
      <c r="F169" s="4" t="str">
        <f t="shared" si="14"/>
        <v>Feb</v>
      </c>
      <c r="G169" s="3">
        <v>44981</v>
      </c>
      <c r="H169" s="4" t="s">
        <v>443</v>
      </c>
      <c r="I169" s="4" t="s">
        <v>4</v>
      </c>
      <c r="J169" s="4" t="str" cm="1">
        <f t="array" ref="J169">_xlfn.IFS(K169&gt;=50, "Senior", K169&gt;=30, "Adult", K169&lt;30,"Young Adult")</f>
        <v>Senior</v>
      </c>
      <c r="K169" s="4">
        <v>57</v>
      </c>
      <c r="L169" s="4" t="s">
        <v>7</v>
      </c>
      <c r="M169" s="4">
        <v>1</v>
      </c>
      <c r="N169" s="22">
        <v>300</v>
      </c>
      <c r="O169" s="24">
        <f>M169 * N169</f>
        <v>300</v>
      </c>
      <c r="P169" s="16">
        <f>O169 * $S$3</f>
        <v>4.5</v>
      </c>
      <c r="Q169" s="16">
        <f>O169 * $S$4</f>
        <v>6</v>
      </c>
    </row>
    <row r="170" spans="1:17">
      <c r="A170" s="2">
        <v>169</v>
      </c>
      <c r="B170" s="4">
        <f t="shared" si="10"/>
        <v>17</v>
      </c>
      <c r="C170" s="4">
        <f t="shared" si="11"/>
        <v>11</v>
      </c>
      <c r="D170" s="4">
        <f t="shared" si="12"/>
        <v>2023</v>
      </c>
      <c r="E170" s="4" t="str">
        <f t="shared" si="13"/>
        <v>Fri</v>
      </c>
      <c r="F170" s="4" t="str">
        <f t="shared" si="14"/>
        <v>Nov</v>
      </c>
      <c r="G170" s="3">
        <v>45247</v>
      </c>
      <c r="H170" s="4" t="s">
        <v>444</v>
      </c>
      <c r="I170" s="4" t="s">
        <v>4</v>
      </c>
      <c r="J170" s="4" t="str" cm="1">
        <f t="array" ref="J170">_xlfn.IFS(K170&gt;=50, "Senior", K170&gt;=30, "Adult", K170&lt;30,"Young Adult")</f>
        <v>Senior</v>
      </c>
      <c r="K170" s="4">
        <v>57</v>
      </c>
      <c r="L170" s="4" t="s">
        <v>6</v>
      </c>
      <c r="M170" s="4">
        <v>3</v>
      </c>
      <c r="N170" s="22">
        <v>500</v>
      </c>
      <c r="O170" s="24">
        <f>M170 * N170</f>
        <v>1500</v>
      </c>
      <c r="P170" s="16">
        <f>O170 * $S$3</f>
        <v>22.5</v>
      </c>
      <c r="Q170" s="16">
        <f>O170 * $S$4</f>
        <v>30</v>
      </c>
    </row>
    <row r="171" spans="1:17">
      <c r="A171" s="2">
        <v>170</v>
      </c>
      <c r="B171" s="4">
        <f t="shared" si="10"/>
        <v>2</v>
      </c>
      <c r="C171" s="4">
        <f t="shared" si="11"/>
        <v>6</v>
      </c>
      <c r="D171" s="4">
        <f t="shared" si="12"/>
        <v>2023</v>
      </c>
      <c r="E171" s="4" t="str">
        <f t="shared" si="13"/>
        <v>Fri</v>
      </c>
      <c r="F171" s="4" t="str">
        <f t="shared" si="14"/>
        <v>Jun</v>
      </c>
      <c r="G171" s="3">
        <v>45079</v>
      </c>
      <c r="H171" s="4" t="s">
        <v>445</v>
      </c>
      <c r="I171" s="4" t="s">
        <v>3</v>
      </c>
      <c r="J171" s="4" t="str" cm="1">
        <f t="array" ref="J171">_xlfn.IFS(K171&gt;=50, "Senior", K171&gt;=30, "Adult", K171&lt;30,"Young Adult")</f>
        <v>Senior</v>
      </c>
      <c r="K171" s="4">
        <v>57</v>
      </c>
      <c r="L171" s="4" t="s">
        <v>7</v>
      </c>
      <c r="M171" s="4">
        <v>2</v>
      </c>
      <c r="N171" s="22">
        <v>25</v>
      </c>
      <c r="O171" s="24">
        <f>M171 * N171</f>
        <v>50</v>
      </c>
      <c r="P171" s="16">
        <f>O171 * $S$3</f>
        <v>0.75</v>
      </c>
      <c r="Q171" s="16">
        <f>O171 * $S$4</f>
        <v>1</v>
      </c>
    </row>
    <row r="172" spans="1:17">
      <c r="A172" s="2">
        <v>171</v>
      </c>
      <c r="B172" s="4">
        <f t="shared" si="10"/>
        <v>24</v>
      </c>
      <c r="C172" s="4">
        <f t="shared" si="11"/>
        <v>11</v>
      </c>
      <c r="D172" s="4">
        <f t="shared" si="12"/>
        <v>2023</v>
      </c>
      <c r="E172" s="4" t="str">
        <f t="shared" si="13"/>
        <v>Fri</v>
      </c>
      <c r="F172" s="4" t="str">
        <f t="shared" si="14"/>
        <v>Nov</v>
      </c>
      <c r="G172" s="3">
        <v>45254</v>
      </c>
      <c r="H172" s="4" t="s">
        <v>446</v>
      </c>
      <c r="I172" s="4" t="s">
        <v>3</v>
      </c>
      <c r="J172" s="4" t="str" cm="1">
        <f t="array" ref="J172">_xlfn.IFS(K172&gt;=50, "Senior", K172&gt;=30, "Adult", K172&lt;30,"Young Adult")</f>
        <v>Senior</v>
      </c>
      <c r="K172" s="4">
        <v>57</v>
      </c>
      <c r="L172" s="4" t="s">
        <v>7</v>
      </c>
      <c r="M172" s="4">
        <v>3</v>
      </c>
      <c r="N172" s="22">
        <v>300</v>
      </c>
      <c r="O172" s="24">
        <f>M172 * N172</f>
        <v>900</v>
      </c>
      <c r="P172" s="16">
        <f>O172 * $S$3</f>
        <v>13.5</v>
      </c>
      <c r="Q172" s="16">
        <f>O172 * $S$4</f>
        <v>18</v>
      </c>
    </row>
    <row r="173" spans="1:17">
      <c r="A173" s="2">
        <v>172</v>
      </c>
      <c r="B173" s="4">
        <f t="shared" si="10"/>
        <v>17</v>
      </c>
      <c r="C173" s="4">
        <f t="shared" si="11"/>
        <v>9</v>
      </c>
      <c r="D173" s="4">
        <f t="shared" si="12"/>
        <v>2023</v>
      </c>
      <c r="E173" s="4" t="str">
        <f t="shared" si="13"/>
        <v>Sun</v>
      </c>
      <c r="F173" s="4" t="str">
        <f t="shared" si="14"/>
        <v>Sep</v>
      </c>
      <c r="G173" s="3">
        <v>45186</v>
      </c>
      <c r="H173" s="4" t="s">
        <v>170</v>
      </c>
      <c r="I173" s="4" t="s">
        <v>4</v>
      </c>
      <c r="J173" s="4" t="str" cm="1">
        <f t="array" ref="J173">_xlfn.IFS(K173&gt;=50, "Senior", K173&gt;=30, "Adult", K173&lt;30,"Young Adult")</f>
        <v>Senior</v>
      </c>
      <c r="K173" s="4">
        <v>57</v>
      </c>
      <c r="L173" s="4" t="s">
        <v>6</v>
      </c>
      <c r="M173" s="4">
        <v>2</v>
      </c>
      <c r="N173" s="22">
        <v>25</v>
      </c>
      <c r="O173" s="24">
        <f>M173 * N173</f>
        <v>50</v>
      </c>
      <c r="P173" s="16">
        <f>O173 * $S$3</f>
        <v>0.75</v>
      </c>
      <c r="Q173" s="16">
        <f>O173 * $S$4</f>
        <v>1</v>
      </c>
    </row>
    <row r="174" spans="1:17">
      <c r="A174" s="2">
        <v>173</v>
      </c>
      <c r="B174" s="4">
        <f t="shared" si="10"/>
        <v>8</v>
      </c>
      <c r="C174" s="4">
        <f t="shared" si="11"/>
        <v>11</v>
      </c>
      <c r="D174" s="4">
        <f t="shared" si="12"/>
        <v>2023</v>
      </c>
      <c r="E174" s="4" t="str">
        <f t="shared" si="13"/>
        <v>Wed</v>
      </c>
      <c r="F174" s="4" t="str">
        <f t="shared" si="14"/>
        <v>Nov</v>
      </c>
      <c r="G174" s="3">
        <v>45238</v>
      </c>
      <c r="H174" s="4" t="s">
        <v>447</v>
      </c>
      <c r="I174" s="4" t="s">
        <v>4</v>
      </c>
      <c r="J174" s="4" t="str" cm="1">
        <f t="array" ref="J174">_xlfn.IFS(K174&gt;=50, "Senior", K174&gt;=30, "Adult", K174&lt;30,"Young Adult")</f>
        <v>Senior</v>
      </c>
      <c r="K174" s="4">
        <v>57</v>
      </c>
      <c r="L174" s="4" t="s">
        <v>8</v>
      </c>
      <c r="M174" s="4">
        <v>4</v>
      </c>
      <c r="N174" s="22">
        <v>30</v>
      </c>
      <c r="O174" s="24">
        <f>M174 * N174</f>
        <v>120</v>
      </c>
      <c r="P174" s="16">
        <f>O174 * $S$3</f>
        <v>1.7999999999999998</v>
      </c>
      <c r="Q174" s="16">
        <f>O174 * $S$4</f>
        <v>2.4</v>
      </c>
    </row>
    <row r="175" spans="1:17">
      <c r="A175" s="2">
        <v>174</v>
      </c>
      <c r="B175" s="4">
        <f t="shared" si="10"/>
        <v>12</v>
      </c>
      <c r="C175" s="4">
        <f t="shared" si="11"/>
        <v>4</v>
      </c>
      <c r="D175" s="4">
        <f t="shared" si="12"/>
        <v>2023</v>
      </c>
      <c r="E175" s="4" t="str">
        <f t="shared" si="13"/>
        <v>Wed</v>
      </c>
      <c r="F175" s="4" t="str">
        <f t="shared" si="14"/>
        <v>Apr</v>
      </c>
      <c r="G175" s="3">
        <v>45028</v>
      </c>
      <c r="H175" s="4" t="s">
        <v>169</v>
      </c>
      <c r="I175" s="4" t="s">
        <v>3</v>
      </c>
      <c r="J175" s="4" t="str" cm="1">
        <f t="array" ref="J175">_xlfn.IFS(K175&gt;=50, "Senior", K175&gt;=30, "Adult", K175&lt;30,"Young Adult")</f>
        <v>Senior</v>
      </c>
      <c r="K175" s="4">
        <v>57</v>
      </c>
      <c r="L175" s="4" t="s">
        <v>6</v>
      </c>
      <c r="M175" s="4">
        <v>1</v>
      </c>
      <c r="N175" s="22">
        <v>300</v>
      </c>
      <c r="O175" s="24">
        <f>M175 * N175</f>
        <v>300</v>
      </c>
      <c r="P175" s="16">
        <f>O175 * $S$3</f>
        <v>4.5</v>
      </c>
      <c r="Q175" s="16">
        <f>O175 * $S$4</f>
        <v>6</v>
      </c>
    </row>
    <row r="176" spans="1:17">
      <c r="A176" s="2">
        <v>175</v>
      </c>
      <c r="B176" s="4">
        <f t="shared" si="10"/>
        <v>20</v>
      </c>
      <c r="C176" s="4">
        <f t="shared" si="11"/>
        <v>3</v>
      </c>
      <c r="D176" s="4">
        <f t="shared" si="12"/>
        <v>2023</v>
      </c>
      <c r="E176" s="4" t="str">
        <f t="shared" si="13"/>
        <v>Mon</v>
      </c>
      <c r="F176" s="4" t="str">
        <f t="shared" si="14"/>
        <v>Mar</v>
      </c>
      <c r="G176" s="3">
        <v>45005</v>
      </c>
      <c r="H176" s="4" t="s">
        <v>448</v>
      </c>
      <c r="I176" s="4" t="s">
        <v>3</v>
      </c>
      <c r="J176" s="4" t="str" cm="1">
        <f t="array" ref="J176">_xlfn.IFS(K176&gt;=50, "Senior", K176&gt;=30, "Adult", K176&lt;30,"Young Adult")</f>
        <v>Senior</v>
      </c>
      <c r="K176" s="4">
        <v>57</v>
      </c>
      <c r="L176" s="4" t="s">
        <v>8</v>
      </c>
      <c r="M176" s="4">
        <v>4</v>
      </c>
      <c r="N176" s="22">
        <v>25</v>
      </c>
      <c r="O176" s="24">
        <f>M176 * N176</f>
        <v>100</v>
      </c>
      <c r="P176" s="16">
        <f>O176 * $S$3</f>
        <v>1.5</v>
      </c>
      <c r="Q176" s="16">
        <f>O176 * $S$4</f>
        <v>2</v>
      </c>
    </row>
    <row r="177" spans="1:17">
      <c r="A177" s="2">
        <v>176</v>
      </c>
      <c r="B177" s="4">
        <f t="shared" si="10"/>
        <v>11</v>
      </c>
      <c r="C177" s="4">
        <f t="shared" si="11"/>
        <v>7</v>
      </c>
      <c r="D177" s="4">
        <f t="shared" si="12"/>
        <v>2023</v>
      </c>
      <c r="E177" s="4" t="str">
        <f t="shared" si="13"/>
        <v>Tue</v>
      </c>
      <c r="F177" s="4" t="str">
        <f t="shared" si="14"/>
        <v>Jul</v>
      </c>
      <c r="G177" s="3">
        <v>45118</v>
      </c>
      <c r="H177" s="4" t="s">
        <v>168</v>
      </c>
      <c r="I177" s="4" t="s">
        <v>3</v>
      </c>
      <c r="J177" s="4" t="str" cm="1">
        <f t="array" ref="J177">_xlfn.IFS(K177&gt;=50, "Senior", K177&gt;=30, "Adult", K177&lt;30,"Young Adult")</f>
        <v>Senior</v>
      </c>
      <c r="K177" s="4">
        <v>57</v>
      </c>
      <c r="L177" s="4" t="s">
        <v>6</v>
      </c>
      <c r="M177" s="4">
        <v>2</v>
      </c>
      <c r="N177" s="22">
        <v>50</v>
      </c>
      <c r="O177" s="24">
        <f>M177 * N177</f>
        <v>100</v>
      </c>
      <c r="P177" s="16">
        <f>O177 * $S$3</f>
        <v>1.5</v>
      </c>
      <c r="Q177" s="16">
        <f>O177 * $S$4</f>
        <v>2</v>
      </c>
    </row>
    <row r="178" spans="1:17">
      <c r="A178" s="2">
        <v>177</v>
      </c>
      <c r="B178" s="4">
        <f t="shared" si="10"/>
        <v>24</v>
      </c>
      <c r="C178" s="4">
        <f t="shared" si="11"/>
        <v>3</v>
      </c>
      <c r="D178" s="4">
        <f t="shared" si="12"/>
        <v>2023</v>
      </c>
      <c r="E178" s="4" t="str">
        <f t="shared" si="13"/>
        <v>Fri</v>
      </c>
      <c r="F178" s="4" t="str">
        <f t="shared" si="14"/>
        <v>Mar</v>
      </c>
      <c r="G178" s="3">
        <v>45009</v>
      </c>
      <c r="H178" s="4" t="s">
        <v>167</v>
      </c>
      <c r="I178" s="4" t="s">
        <v>4</v>
      </c>
      <c r="J178" s="4" t="str" cm="1">
        <f t="array" ref="J178">_xlfn.IFS(K178&gt;=50, "Senior", K178&gt;=30, "Adult", K178&lt;30,"Young Adult")</f>
        <v>Senior</v>
      </c>
      <c r="K178" s="4">
        <v>56</v>
      </c>
      <c r="L178" s="4" t="s">
        <v>6</v>
      </c>
      <c r="M178" s="4">
        <v>2</v>
      </c>
      <c r="N178" s="22">
        <v>50</v>
      </c>
      <c r="O178" s="24">
        <f>M178 * N178</f>
        <v>100</v>
      </c>
      <c r="P178" s="16">
        <f>O178 * $S$3</f>
        <v>1.5</v>
      </c>
      <c r="Q178" s="16">
        <f>O178 * $S$4</f>
        <v>2</v>
      </c>
    </row>
    <row r="179" spans="1:17">
      <c r="A179" s="2">
        <v>178</v>
      </c>
      <c r="B179" s="4">
        <f t="shared" si="10"/>
        <v>4</v>
      </c>
      <c r="C179" s="4">
        <f t="shared" si="11"/>
        <v>10</v>
      </c>
      <c r="D179" s="4">
        <f t="shared" si="12"/>
        <v>2023</v>
      </c>
      <c r="E179" s="4" t="str">
        <f t="shared" si="13"/>
        <v>Wed</v>
      </c>
      <c r="F179" s="4" t="str">
        <f t="shared" si="14"/>
        <v>Oct</v>
      </c>
      <c r="G179" s="3">
        <v>45203</v>
      </c>
      <c r="H179" s="4" t="s">
        <v>313</v>
      </c>
      <c r="I179" s="4" t="s">
        <v>4</v>
      </c>
      <c r="J179" s="4" t="str" cm="1">
        <f t="array" ref="J179">_xlfn.IFS(K179&gt;=50, "Senior", K179&gt;=30, "Adult", K179&lt;30,"Young Adult")</f>
        <v>Senior</v>
      </c>
      <c r="K179" s="4">
        <v>56</v>
      </c>
      <c r="L179" s="4" t="s">
        <v>7</v>
      </c>
      <c r="M179" s="4">
        <v>2</v>
      </c>
      <c r="N179" s="22">
        <v>30</v>
      </c>
      <c r="O179" s="24">
        <f>M179 * N179</f>
        <v>60</v>
      </c>
      <c r="P179" s="16">
        <f>O179 * $S$3</f>
        <v>0.89999999999999991</v>
      </c>
      <c r="Q179" s="16">
        <f>O179 * $S$4</f>
        <v>1.2</v>
      </c>
    </row>
    <row r="180" spans="1:17">
      <c r="A180" s="2">
        <v>179</v>
      </c>
      <c r="B180" s="4">
        <f t="shared" si="10"/>
        <v>29</v>
      </c>
      <c r="C180" s="4">
        <f t="shared" si="11"/>
        <v>9</v>
      </c>
      <c r="D180" s="4">
        <f t="shared" si="12"/>
        <v>2023</v>
      </c>
      <c r="E180" s="4" t="str">
        <f t="shared" si="13"/>
        <v>Fri</v>
      </c>
      <c r="F180" s="4" t="str">
        <f t="shared" si="14"/>
        <v>Sep</v>
      </c>
      <c r="G180" s="3">
        <v>45198</v>
      </c>
      <c r="H180" s="4" t="s">
        <v>449</v>
      </c>
      <c r="I180" s="4" t="s">
        <v>4</v>
      </c>
      <c r="J180" s="4" t="str" cm="1">
        <f t="array" ref="J180">_xlfn.IFS(K180&gt;=50, "Senior", K180&gt;=30, "Adult", K180&lt;30,"Young Adult")</f>
        <v>Senior</v>
      </c>
      <c r="K180" s="4">
        <v>56</v>
      </c>
      <c r="L180" s="4" t="s">
        <v>8</v>
      </c>
      <c r="M180" s="4">
        <v>1</v>
      </c>
      <c r="N180" s="22">
        <v>300</v>
      </c>
      <c r="O180" s="24">
        <f>M180 * N180</f>
        <v>300</v>
      </c>
      <c r="P180" s="16">
        <f>O180 * $S$3</f>
        <v>4.5</v>
      </c>
      <c r="Q180" s="16">
        <f>O180 * $S$4</f>
        <v>6</v>
      </c>
    </row>
    <row r="181" spans="1:17">
      <c r="A181" s="2">
        <v>180</v>
      </c>
      <c r="B181" s="4">
        <f t="shared" si="10"/>
        <v>1</v>
      </c>
      <c r="C181" s="4">
        <f t="shared" si="11"/>
        <v>1</v>
      </c>
      <c r="D181" s="4">
        <f t="shared" si="12"/>
        <v>2023</v>
      </c>
      <c r="E181" s="4" t="str">
        <f t="shared" si="13"/>
        <v>Sun</v>
      </c>
      <c r="F181" s="4" t="str">
        <f t="shared" si="14"/>
        <v>Jan</v>
      </c>
      <c r="G181" s="3">
        <v>44927</v>
      </c>
      <c r="H181" s="4" t="s">
        <v>311</v>
      </c>
      <c r="I181" s="4" t="s">
        <v>4</v>
      </c>
      <c r="J181" s="4" t="str" cm="1">
        <f t="array" ref="J181">_xlfn.IFS(K181&gt;=50, "Senior", K181&gt;=30, "Adult", K181&lt;30,"Young Adult")</f>
        <v>Senior</v>
      </c>
      <c r="K181" s="4">
        <v>56</v>
      </c>
      <c r="L181" s="4" t="s">
        <v>7</v>
      </c>
      <c r="M181" s="4">
        <v>3</v>
      </c>
      <c r="N181" s="22">
        <v>300</v>
      </c>
      <c r="O181" s="24">
        <f>M181 * N181</f>
        <v>900</v>
      </c>
      <c r="P181" s="16">
        <f>O181 * $S$3</f>
        <v>13.5</v>
      </c>
      <c r="Q181" s="16">
        <f>O181 * $S$4</f>
        <v>18</v>
      </c>
    </row>
    <row r="182" spans="1:17">
      <c r="A182" s="2">
        <v>181</v>
      </c>
      <c r="B182" s="4">
        <f t="shared" si="10"/>
        <v>3</v>
      </c>
      <c r="C182" s="4">
        <f t="shared" si="11"/>
        <v>11</v>
      </c>
      <c r="D182" s="4">
        <f t="shared" si="12"/>
        <v>2023</v>
      </c>
      <c r="E182" s="4" t="str">
        <f t="shared" si="13"/>
        <v>Fri</v>
      </c>
      <c r="F182" s="4" t="str">
        <f t="shared" si="14"/>
        <v>Nov</v>
      </c>
      <c r="G182" s="3">
        <v>45233</v>
      </c>
      <c r="H182" s="4" t="s">
        <v>450</v>
      </c>
      <c r="I182" s="4" t="s">
        <v>4</v>
      </c>
      <c r="J182" s="4" t="str" cm="1">
        <f t="array" ref="J182">_xlfn.IFS(K182&gt;=50, "Senior", K182&gt;=30, "Adult", K182&lt;30,"Young Adult")</f>
        <v>Senior</v>
      </c>
      <c r="K182" s="4">
        <v>56</v>
      </c>
      <c r="L182" s="4" t="s">
        <v>8</v>
      </c>
      <c r="M182" s="4">
        <v>4</v>
      </c>
      <c r="N182" s="22">
        <v>300</v>
      </c>
      <c r="O182" s="24">
        <f>M182 * N182</f>
        <v>1200</v>
      </c>
      <c r="P182" s="16">
        <f>O182 * $S$3</f>
        <v>18</v>
      </c>
      <c r="Q182" s="16">
        <f>O182 * $S$4</f>
        <v>24</v>
      </c>
    </row>
    <row r="183" spans="1:17">
      <c r="A183" s="2">
        <v>182</v>
      </c>
      <c r="B183" s="4">
        <f t="shared" si="10"/>
        <v>15</v>
      </c>
      <c r="C183" s="4">
        <f t="shared" si="11"/>
        <v>6</v>
      </c>
      <c r="D183" s="4">
        <f t="shared" si="12"/>
        <v>2023</v>
      </c>
      <c r="E183" s="4" t="str">
        <f t="shared" si="13"/>
        <v>Thu</v>
      </c>
      <c r="F183" s="4" t="str">
        <f t="shared" si="14"/>
        <v>Jun</v>
      </c>
      <c r="G183" s="3">
        <v>45092</v>
      </c>
      <c r="H183" s="4" t="s">
        <v>451</v>
      </c>
      <c r="I183" s="4" t="s">
        <v>4</v>
      </c>
      <c r="J183" s="4" t="str" cm="1">
        <f t="array" ref="J183">_xlfn.IFS(K183&gt;=50, "Senior", K183&gt;=30, "Adult", K183&lt;30,"Young Adult")</f>
        <v>Senior</v>
      </c>
      <c r="K183" s="4">
        <v>56</v>
      </c>
      <c r="L183" s="4" t="s">
        <v>6</v>
      </c>
      <c r="M183" s="4">
        <v>4</v>
      </c>
      <c r="N183" s="22">
        <v>30</v>
      </c>
      <c r="O183" s="24">
        <f>M183 * N183</f>
        <v>120</v>
      </c>
      <c r="P183" s="16">
        <f>O183 * $S$3</f>
        <v>1.7999999999999998</v>
      </c>
      <c r="Q183" s="16">
        <f>O183 * $S$4</f>
        <v>2.4</v>
      </c>
    </row>
    <row r="184" spans="1:17">
      <c r="A184" s="2">
        <v>183</v>
      </c>
      <c r="B184" s="4">
        <f t="shared" si="10"/>
        <v>8</v>
      </c>
      <c r="C184" s="4">
        <f t="shared" si="11"/>
        <v>9</v>
      </c>
      <c r="D184" s="4">
        <f t="shared" si="12"/>
        <v>2023</v>
      </c>
      <c r="E184" s="4" t="str">
        <f t="shared" si="13"/>
        <v>Fri</v>
      </c>
      <c r="F184" s="4" t="str">
        <f t="shared" si="14"/>
        <v>Sep</v>
      </c>
      <c r="G184" s="3">
        <v>45177</v>
      </c>
      <c r="H184" s="4" t="s">
        <v>166</v>
      </c>
      <c r="I184" s="4" t="s">
        <v>3</v>
      </c>
      <c r="J184" s="4" t="str" cm="1">
        <f t="array" ref="J184">_xlfn.IFS(K184&gt;=50, "Senior", K184&gt;=30, "Adult", K184&lt;30,"Young Adult")</f>
        <v>Senior</v>
      </c>
      <c r="K184" s="4">
        <v>56</v>
      </c>
      <c r="L184" s="4" t="s">
        <v>6</v>
      </c>
      <c r="M184" s="4">
        <v>3</v>
      </c>
      <c r="N184" s="22">
        <v>300</v>
      </c>
      <c r="O184" s="24">
        <f>M184 * N184</f>
        <v>900</v>
      </c>
      <c r="P184" s="16">
        <f>O184 * $S$3</f>
        <v>13.5</v>
      </c>
      <c r="Q184" s="16">
        <f>O184 * $S$4</f>
        <v>18</v>
      </c>
    </row>
    <row r="185" spans="1:17">
      <c r="A185" s="2">
        <v>184</v>
      </c>
      <c r="B185" s="4">
        <f t="shared" si="10"/>
        <v>10</v>
      </c>
      <c r="C185" s="4">
        <f t="shared" si="11"/>
        <v>1</v>
      </c>
      <c r="D185" s="4">
        <f t="shared" si="12"/>
        <v>2023</v>
      </c>
      <c r="E185" s="4" t="str">
        <f t="shared" si="13"/>
        <v>Tue</v>
      </c>
      <c r="F185" s="4" t="str">
        <f t="shared" si="14"/>
        <v>Jan</v>
      </c>
      <c r="G185" s="3">
        <v>44936</v>
      </c>
      <c r="H185" s="4" t="s">
        <v>452</v>
      </c>
      <c r="I185" s="4" t="s">
        <v>4</v>
      </c>
      <c r="J185" s="4" t="str" cm="1">
        <f t="array" ref="J185">_xlfn.IFS(K185&gt;=50, "Senior", K185&gt;=30, "Adult", K185&lt;30,"Young Adult")</f>
        <v>Senior</v>
      </c>
      <c r="K185" s="4">
        <v>56</v>
      </c>
      <c r="L185" s="4" t="s">
        <v>8</v>
      </c>
      <c r="M185" s="4">
        <v>4</v>
      </c>
      <c r="N185" s="22">
        <v>50</v>
      </c>
      <c r="O185" s="24">
        <f>M185 * N185</f>
        <v>200</v>
      </c>
      <c r="P185" s="16">
        <f>O185 * $S$3</f>
        <v>3</v>
      </c>
      <c r="Q185" s="16">
        <f>O185 * $S$4</f>
        <v>4</v>
      </c>
    </row>
    <row r="186" spans="1:17">
      <c r="A186" s="2">
        <v>185</v>
      </c>
      <c r="B186" s="4">
        <f t="shared" si="10"/>
        <v>27</v>
      </c>
      <c r="C186" s="4">
        <f t="shared" si="11"/>
        <v>2</v>
      </c>
      <c r="D186" s="4">
        <f t="shared" si="12"/>
        <v>2023</v>
      </c>
      <c r="E186" s="4" t="str">
        <f t="shared" si="13"/>
        <v>Mon</v>
      </c>
      <c r="F186" s="4" t="str">
        <f t="shared" si="14"/>
        <v>Feb</v>
      </c>
      <c r="G186" s="3">
        <v>44984</v>
      </c>
      <c r="H186" s="4" t="s">
        <v>453</v>
      </c>
      <c r="I186" s="4" t="s">
        <v>4</v>
      </c>
      <c r="J186" s="4" t="str" cm="1">
        <f t="array" ref="J186">_xlfn.IFS(K186&gt;=50, "Senior", K186&gt;=30, "Adult", K186&lt;30,"Young Adult")</f>
        <v>Senior</v>
      </c>
      <c r="K186" s="4">
        <v>56</v>
      </c>
      <c r="L186" s="4" t="s">
        <v>7</v>
      </c>
      <c r="M186" s="4">
        <v>1</v>
      </c>
      <c r="N186" s="22">
        <v>25</v>
      </c>
      <c r="O186" s="24">
        <f>M186 * N186</f>
        <v>25</v>
      </c>
      <c r="P186" s="16">
        <f>O186 * $S$3</f>
        <v>0.375</v>
      </c>
      <c r="Q186" s="16">
        <f>O186 * $S$4</f>
        <v>0.5</v>
      </c>
    </row>
    <row r="187" spans="1:17">
      <c r="A187" s="2">
        <v>186</v>
      </c>
      <c r="B187" s="4">
        <f t="shared" si="10"/>
        <v>5</v>
      </c>
      <c r="C187" s="4">
        <f t="shared" si="11"/>
        <v>7</v>
      </c>
      <c r="D187" s="4">
        <f t="shared" si="12"/>
        <v>2023</v>
      </c>
      <c r="E187" s="4" t="str">
        <f t="shared" si="13"/>
        <v>Wed</v>
      </c>
      <c r="F187" s="4" t="str">
        <f t="shared" si="14"/>
        <v>Jul</v>
      </c>
      <c r="G187" s="3">
        <v>45112</v>
      </c>
      <c r="H187" s="4" t="s">
        <v>454</v>
      </c>
      <c r="I187" s="4" t="s">
        <v>4</v>
      </c>
      <c r="J187" s="4" t="str" cm="1">
        <f t="array" ref="J187">_xlfn.IFS(K187&gt;=50, "Senior", K187&gt;=30, "Adult", K187&lt;30,"Young Adult")</f>
        <v>Senior</v>
      </c>
      <c r="K187" s="4">
        <v>56</v>
      </c>
      <c r="L187" s="4" t="s">
        <v>7</v>
      </c>
      <c r="M187" s="4">
        <v>4</v>
      </c>
      <c r="N187" s="22">
        <v>50</v>
      </c>
      <c r="O187" s="24">
        <f>M187 * N187</f>
        <v>200</v>
      </c>
      <c r="P187" s="16">
        <f>O187 * $S$3</f>
        <v>3</v>
      </c>
      <c r="Q187" s="16">
        <f>O187 * $S$4</f>
        <v>4</v>
      </c>
    </row>
    <row r="188" spans="1:17">
      <c r="A188" s="2">
        <v>187</v>
      </c>
      <c r="B188" s="4">
        <f t="shared" si="10"/>
        <v>7</v>
      </c>
      <c r="C188" s="4">
        <f t="shared" si="11"/>
        <v>6</v>
      </c>
      <c r="D188" s="4">
        <f t="shared" si="12"/>
        <v>2023</v>
      </c>
      <c r="E188" s="4" t="str">
        <f t="shared" si="13"/>
        <v>Wed</v>
      </c>
      <c r="F188" s="4" t="str">
        <f t="shared" si="14"/>
        <v>Jun</v>
      </c>
      <c r="G188" s="3">
        <v>45084</v>
      </c>
      <c r="H188" s="4" t="s">
        <v>455</v>
      </c>
      <c r="I188" s="4" t="s">
        <v>3</v>
      </c>
      <c r="J188" s="4" t="str" cm="1">
        <f t="array" ref="J188">_xlfn.IFS(K188&gt;=50, "Senior", K188&gt;=30, "Adult", K188&lt;30,"Young Adult")</f>
        <v>Senior</v>
      </c>
      <c r="K188" s="4">
        <v>56</v>
      </c>
      <c r="L188" s="4" t="s">
        <v>7</v>
      </c>
      <c r="M188" s="4">
        <v>2</v>
      </c>
      <c r="N188" s="22">
        <v>50</v>
      </c>
      <c r="O188" s="24">
        <f>M188 * N188</f>
        <v>100</v>
      </c>
      <c r="P188" s="16">
        <f>O188 * $S$3</f>
        <v>1.5</v>
      </c>
      <c r="Q188" s="16">
        <f>O188 * $S$4</f>
        <v>2</v>
      </c>
    </row>
    <row r="189" spans="1:17">
      <c r="A189" s="2">
        <v>188</v>
      </c>
      <c r="B189" s="4">
        <f t="shared" si="10"/>
        <v>3</v>
      </c>
      <c r="C189" s="4">
        <f t="shared" si="11"/>
        <v>5</v>
      </c>
      <c r="D189" s="4">
        <f t="shared" si="12"/>
        <v>2023</v>
      </c>
      <c r="E189" s="4" t="str">
        <f t="shared" si="13"/>
        <v>Wed</v>
      </c>
      <c r="F189" s="4" t="str">
        <f t="shared" si="14"/>
        <v>May</v>
      </c>
      <c r="G189" s="3">
        <v>45049</v>
      </c>
      <c r="H189" s="4" t="s">
        <v>310</v>
      </c>
      <c r="I189" s="4" t="s">
        <v>4</v>
      </c>
      <c r="J189" s="4" t="str" cm="1">
        <f t="array" ref="J189">_xlfn.IFS(K189&gt;=50, "Senior", K189&gt;=30, "Adult", K189&lt;30,"Young Adult")</f>
        <v>Senior</v>
      </c>
      <c r="K189" s="4">
        <v>56</v>
      </c>
      <c r="L189" s="4" t="s">
        <v>7</v>
      </c>
      <c r="M189" s="4">
        <v>3</v>
      </c>
      <c r="N189" s="22">
        <v>25</v>
      </c>
      <c r="O189" s="24">
        <f>M189 * N189</f>
        <v>75</v>
      </c>
      <c r="P189" s="16">
        <f>O189 * $S$3</f>
        <v>1.125</v>
      </c>
      <c r="Q189" s="16">
        <f>O189 * $S$4</f>
        <v>1.5</v>
      </c>
    </row>
    <row r="190" spans="1:17">
      <c r="A190" s="2">
        <v>189</v>
      </c>
      <c r="B190" s="4">
        <f t="shared" si="10"/>
        <v>30</v>
      </c>
      <c r="C190" s="4">
        <f t="shared" si="11"/>
        <v>1</v>
      </c>
      <c r="D190" s="4">
        <f t="shared" si="12"/>
        <v>2023</v>
      </c>
      <c r="E190" s="4" t="str">
        <f t="shared" si="13"/>
        <v>Mon</v>
      </c>
      <c r="F190" s="4" t="str">
        <f t="shared" si="14"/>
        <v>Jan</v>
      </c>
      <c r="G190" s="3">
        <v>44956</v>
      </c>
      <c r="H190" s="4" t="s">
        <v>456</v>
      </c>
      <c r="I190" s="4" t="s">
        <v>4</v>
      </c>
      <c r="J190" s="4" t="str" cm="1">
        <f t="array" ref="J190">_xlfn.IFS(K190&gt;=50, "Senior", K190&gt;=30, "Adult", K190&lt;30,"Young Adult")</f>
        <v>Senior</v>
      </c>
      <c r="K190" s="4">
        <v>56</v>
      </c>
      <c r="L190" s="4" t="s">
        <v>6</v>
      </c>
      <c r="M190" s="4">
        <v>1</v>
      </c>
      <c r="N190" s="22">
        <v>50</v>
      </c>
      <c r="O190" s="24">
        <f>M190 * N190</f>
        <v>50</v>
      </c>
      <c r="P190" s="16">
        <f>O190 * $S$3</f>
        <v>0.75</v>
      </c>
      <c r="Q190" s="16">
        <f>O190 * $S$4</f>
        <v>1</v>
      </c>
    </row>
    <row r="191" spans="1:17">
      <c r="A191" s="2">
        <v>190</v>
      </c>
      <c r="B191" s="4">
        <f t="shared" si="10"/>
        <v>4</v>
      </c>
      <c r="C191" s="4">
        <f t="shared" si="11"/>
        <v>5</v>
      </c>
      <c r="D191" s="4">
        <f t="shared" si="12"/>
        <v>2023</v>
      </c>
      <c r="E191" s="4" t="str">
        <f t="shared" si="13"/>
        <v>Thu</v>
      </c>
      <c r="F191" s="4" t="str">
        <f t="shared" si="14"/>
        <v>May</v>
      </c>
      <c r="G191" s="3">
        <v>45050</v>
      </c>
      <c r="H191" s="4" t="s">
        <v>457</v>
      </c>
      <c r="I191" s="4" t="s">
        <v>3</v>
      </c>
      <c r="J191" s="4" t="str" cm="1">
        <f t="array" ref="J191">_xlfn.IFS(K191&gt;=50, "Senior", K191&gt;=30, "Adult", K191&lt;30,"Young Adult")</f>
        <v>Senior</v>
      </c>
      <c r="K191" s="4">
        <v>56</v>
      </c>
      <c r="L191" s="4" t="s">
        <v>6</v>
      </c>
      <c r="M191" s="4">
        <v>3</v>
      </c>
      <c r="N191" s="22">
        <v>30</v>
      </c>
      <c r="O191" s="24">
        <f>M191 * N191</f>
        <v>90</v>
      </c>
      <c r="P191" s="16">
        <f>O191 * $S$3</f>
        <v>1.3499999999999999</v>
      </c>
      <c r="Q191" s="16">
        <f>O191 * $S$4</f>
        <v>1.8</v>
      </c>
    </row>
    <row r="192" spans="1:17">
      <c r="A192" s="2">
        <v>191</v>
      </c>
      <c r="B192" s="4">
        <f t="shared" si="10"/>
        <v>18</v>
      </c>
      <c r="C192" s="4">
        <f t="shared" si="11"/>
        <v>10</v>
      </c>
      <c r="D192" s="4">
        <f t="shared" si="12"/>
        <v>2023</v>
      </c>
      <c r="E192" s="4" t="str">
        <f t="shared" si="13"/>
        <v>Wed</v>
      </c>
      <c r="F192" s="4" t="str">
        <f t="shared" si="14"/>
        <v>Oct</v>
      </c>
      <c r="G192" s="3">
        <v>45217</v>
      </c>
      <c r="H192" s="4" t="s">
        <v>458</v>
      </c>
      <c r="I192" s="4" t="s">
        <v>4</v>
      </c>
      <c r="J192" s="4" t="str" cm="1">
        <f t="array" ref="J192">_xlfn.IFS(K192&gt;=50, "Senior", K192&gt;=30, "Adult", K192&lt;30,"Young Adult")</f>
        <v>Senior</v>
      </c>
      <c r="K192" s="4">
        <v>56</v>
      </c>
      <c r="L192" s="4" t="s">
        <v>6</v>
      </c>
      <c r="M192" s="4">
        <v>1</v>
      </c>
      <c r="N192" s="22">
        <v>25</v>
      </c>
      <c r="O192" s="24">
        <f>M192 * N192</f>
        <v>25</v>
      </c>
      <c r="P192" s="16">
        <f>O192 * $S$3</f>
        <v>0.375</v>
      </c>
      <c r="Q192" s="16">
        <f>O192 * $S$4</f>
        <v>0.5</v>
      </c>
    </row>
    <row r="193" spans="1:17">
      <c r="A193" s="2">
        <v>192</v>
      </c>
      <c r="B193" s="4">
        <f t="shared" si="10"/>
        <v>10</v>
      </c>
      <c r="C193" s="4">
        <f t="shared" si="11"/>
        <v>2</v>
      </c>
      <c r="D193" s="4">
        <f t="shared" si="12"/>
        <v>2023</v>
      </c>
      <c r="E193" s="4" t="str">
        <f t="shared" si="13"/>
        <v>Fri</v>
      </c>
      <c r="F193" s="4" t="str">
        <f t="shared" si="14"/>
        <v>Feb</v>
      </c>
      <c r="G193" s="3">
        <v>44967</v>
      </c>
      <c r="H193" s="4" t="s">
        <v>459</v>
      </c>
      <c r="I193" s="4" t="s">
        <v>4</v>
      </c>
      <c r="J193" s="4" t="str" cm="1">
        <f t="array" ref="J193">_xlfn.IFS(K193&gt;=50, "Senior", K193&gt;=30, "Adult", K193&lt;30,"Young Adult")</f>
        <v>Senior</v>
      </c>
      <c r="K193" s="4">
        <v>56</v>
      </c>
      <c r="L193" s="4" t="s">
        <v>6</v>
      </c>
      <c r="M193" s="4">
        <v>2</v>
      </c>
      <c r="N193" s="22">
        <v>50</v>
      </c>
      <c r="O193" s="24">
        <f>M193 * N193</f>
        <v>100</v>
      </c>
      <c r="P193" s="16">
        <f>O193 * $S$3</f>
        <v>1.5</v>
      </c>
      <c r="Q193" s="16">
        <f>O193 * $S$4</f>
        <v>2</v>
      </c>
    </row>
    <row r="194" spans="1:17">
      <c r="A194" s="2">
        <v>193</v>
      </c>
      <c r="B194" s="4">
        <f t="shared" si="10"/>
        <v>13</v>
      </c>
      <c r="C194" s="4">
        <f t="shared" si="11"/>
        <v>2</v>
      </c>
      <c r="D194" s="4">
        <f t="shared" si="12"/>
        <v>2023</v>
      </c>
      <c r="E194" s="4" t="str">
        <f t="shared" si="13"/>
        <v>Mon</v>
      </c>
      <c r="F194" s="4" t="str">
        <f t="shared" si="14"/>
        <v>Feb</v>
      </c>
      <c r="G194" s="3">
        <v>44970</v>
      </c>
      <c r="H194" s="4" t="s">
        <v>165</v>
      </c>
      <c r="I194" s="4" t="s">
        <v>4</v>
      </c>
      <c r="J194" s="4" t="str" cm="1">
        <f t="array" ref="J194">_xlfn.IFS(K194&gt;=50, "Senior", K194&gt;=30, "Adult", K194&lt;30,"Young Adult")</f>
        <v>Senior</v>
      </c>
      <c r="K194" s="4">
        <v>56</v>
      </c>
      <c r="L194" s="4" t="s">
        <v>6</v>
      </c>
      <c r="M194" s="4">
        <v>3</v>
      </c>
      <c r="N194" s="22">
        <v>500</v>
      </c>
      <c r="O194" s="24">
        <f>M194 * N194</f>
        <v>1500</v>
      </c>
      <c r="P194" s="16">
        <f>O194 * $S$3</f>
        <v>22.5</v>
      </c>
      <c r="Q194" s="16">
        <f>O194 * $S$4</f>
        <v>30</v>
      </c>
    </row>
    <row r="195" spans="1:17">
      <c r="A195" s="2">
        <v>194</v>
      </c>
      <c r="B195" s="4">
        <f t="shared" ref="B195:B258" si="15">DAY(G195)</f>
        <v>6</v>
      </c>
      <c r="C195" s="4">
        <f t="shared" ref="C195:C258" si="16">MONTH(G195)</f>
        <v>9</v>
      </c>
      <c r="D195" s="4">
        <f t="shared" ref="D195:D258" si="17">YEAR(G195)</f>
        <v>2023</v>
      </c>
      <c r="E195" s="4" t="str">
        <f t="shared" ref="E195:E258" si="18">TEXT(G195,"DDD")</f>
        <v>Wed</v>
      </c>
      <c r="F195" s="4" t="str">
        <f t="shared" ref="F195:F258" si="19">TEXT(G195,"MMM")</f>
        <v>Sep</v>
      </c>
      <c r="G195" s="3">
        <v>45175</v>
      </c>
      <c r="H195" s="4" t="s">
        <v>460</v>
      </c>
      <c r="I195" s="4" t="s">
        <v>4</v>
      </c>
      <c r="J195" s="4" t="str" cm="1">
        <f t="array" ref="J195">_xlfn.IFS(K195&gt;=50, "Senior", K195&gt;=30, "Adult", K195&lt;30,"Young Adult")</f>
        <v>Senior</v>
      </c>
      <c r="K195" s="4">
        <v>56</v>
      </c>
      <c r="L195" s="4" t="s">
        <v>7</v>
      </c>
      <c r="M195" s="4">
        <v>4</v>
      </c>
      <c r="N195" s="22">
        <v>50</v>
      </c>
      <c r="O195" s="24">
        <f>M195 * N195</f>
        <v>200</v>
      </c>
      <c r="P195" s="16">
        <f>O195 * $S$3</f>
        <v>3</v>
      </c>
      <c r="Q195" s="16">
        <f>O195 * $S$4</f>
        <v>4</v>
      </c>
    </row>
    <row r="196" spans="1:17">
      <c r="A196" s="2">
        <v>195</v>
      </c>
      <c r="B196" s="4">
        <f t="shared" si="15"/>
        <v>5</v>
      </c>
      <c r="C196" s="4">
        <f t="shared" si="16"/>
        <v>2</v>
      </c>
      <c r="D196" s="4">
        <f t="shared" si="17"/>
        <v>2023</v>
      </c>
      <c r="E196" s="4" t="str">
        <f t="shared" si="18"/>
        <v>Sun</v>
      </c>
      <c r="F196" s="4" t="str">
        <f t="shared" si="19"/>
        <v>Feb</v>
      </c>
      <c r="G196" s="3">
        <v>44962</v>
      </c>
      <c r="H196" s="4" t="s">
        <v>461</v>
      </c>
      <c r="I196" s="4" t="s">
        <v>4</v>
      </c>
      <c r="J196" s="4" t="str" cm="1">
        <f t="array" ref="J196">_xlfn.IFS(K196&gt;=50, "Senior", K196&gt;=30, "Adult", K196&lt;30,"Young Adult")</f>
        <v>Senior</v>
      </c>
      <c r="K196" s="4">
        <v>56</v>
      </c>
      <c r="L196" s="4" t="s">
        <v>7</v>
      </c>
      <c r="M196" s="4">
        <v>1</v>
      </c>
      <c r="N196" s="22">
        <v>30</v>
      </c>
      <c r="O196" s="24">
        <f>M196 * N196</f>
        <v>30</v>
      </c>
      <c r="P196" s="16">
        <f>O196 * $S$3</f>
        <v>0.44999999999999996</v>
      </c>
      <c r="Q196" s="16">
        <f>O196 * $S$4</f>
        <v>0.6</v>
      </c>
    </row>
    <row r="197" spans="1:17">
      <c r="A197" s="2">
        <v>196</v>
      </c>
      <c r="B197" s="4">
        <f t="shared" si="15"/>
        <v>30</v>
      </c>
      <c r="C197" s="4">
        <f t="shared" si="16"/>
        <v>9</v>
      </c>
      <c r="D197" s="4">
        <f t="shared" si="17"/>
        <v>2023</v>
      </c>
      <c r="E197" s="4" t="str">
        <f t="shared" si="18"/>
        <v>Sat</v>
      </c>
      <c r="F197" s="4" t="str">
        <f t="shared" si="19"/>
        <v>Sep</v>
      </c>
      <c r="G197" s="3">
        <v>45199</v>
      </c>
      <c r="H197" s="4" t="s">
        <v>309</v>
      </c>
      <c r="I197" s="4" t="s">
        <v>3</v>
      </c>
      <c r="J197" s="4" t="str" cm="1">
        <f t="array" ref="J197">_xlfn.IFS(K197&gt;=50, "Senior", K197&gt;=30, "Adult", K197&lt;30,"Young Adult")</f>
        <v>Senior</v>
      </c>
      <c r="K197" s="4">
        <v>55</v>
      </c>
      <c r="L197" s="4" t="s">
        <v>7</v>
      </c>
      <c r="M197" s="4">
        <v>3</v>
      </c>
      <c r="N197" s="22">
        <v>300</v>
      </c>
      <c r="O197" s="24">
        <f>M197 * N197</f>
        <v>900</v>
      </c>
      <c r="P197" s="16">
        <f>O197 * $S$3</f>
        <v>13.5</v>
      </c>
      <c r="Q197" s="16">
        <f>O197 * $S$4</f>
        <v>18</v>
      </c>
    </row>
    <row r="198" spans="1:17">
      <c r="A198" s="2">
        <v>197</v>
      </c>
      <c r="B198" s="4">
        <f t="shared" si="15"/>
        <v>6</v>
      </c>
      <c r="C198" s="4">
        <f t="shared" si="16"/>
        <v>3</v>
      </c>
      <c r="D198" s="4">
        <f t="shared" si="17"/>
        <v>2023</v>
      </c>
      <c r="E198" s="4" t="str">
        <f t="shared" si="18"/>
        <v>Mon</v>
      </c>
      <c r="F198" s="4" t="str">
        <f t="shared" si="19"/>
        <v>Mar</v>
      </c>
      <c r="G198" s="3">
        <v>44991</v>
      </c>
      <c r="H198" s="4" t="s">
        <v>308</v>
      </c>
      <c r="I198" s="4" t="s">
        <v>3</v>
      </c>
      <c r="J198" s="4" t="str" cm="1">
        <f t="array" ref="J198">_xlfn.IFS(K198&gt;=50, "Senior", K198&gt;=30, "Adult", K198&lt;30,"Young Adult")</f>
        <v>Senior</v>
      </c>
      <c r="K198" s="4">
        <v>55</v>
      </c>
      <c r="L198" s="4" t="s">
        <v>7</v>
      </c>
      <c r="M198" s="4">
        <v>4</v>
      </c>
      <c r="N198" s="22">
        <v>50</v>
      </c>
      <c r="O198" s="24">
        <f>M198 * N198</f>
        <v>200</v>
      </c>
      <c r="P198" s="16">
        <f>O198 * $S$3</f>
        <v>3</v>
      </c>
      <c r="Q198" s="16">
        <f>O198 * $S$4</f>
        <v>4</v>
      </c>
    </row>
    <row r="199" spans="1:17">
      <c r="A199" s="2">
        <v>198</v>
      </c>
      <c r="B199" s="4">
        <f t="shared" si="15"/>
        <v>7</v>
      </c>
      <c r="C199" s="4">
        <f t="shared" si="16"/>
        <v>3</v>
      </c>
      <c r="D199" s="4">
        <f t="shared" si="17"/>
        <v>2023</v>
      </c>
      <c r="E199" s="4" t="str">
        <f t="shared" si="18"/>
        <v>Tue</v>
      </c>
      <c r="F199" s="4" t="str">
        <f t="shared" si="19"/>
        <v>Mar</v>
      </c>
      <c r="G199" s="3">
        <v>44992</v>
      </c>
      <c r="H199" s="4" t="s">
        <v>462</v>
      </c>
      <c r="I199" s="4" t="s">
        <v>3</v>
      </c>
      <c r="J199" s="4" t="str" cm="1">
        <f t="array" ref="J199">_xlfn.IFS(K199&gt;=50, "Senior", K199&gt;=30, "Adult", K199&lt;30,"Young Adult")</f>
        <v>Senior</v>
      </c>
      <c r="K199" s="4">
        <v>55</v>
      </c>
      <c r="L199" s="4" t="s">
        <v>6</v>
      </c>
      <c r="M199" s="4">
        <v>3</v>
      </c>
      <c r="N199" s="22">
        <v>300</v>
      </c>
      <c r="O199" s="24">
        <f>M199 * N199</f>
        <v>900</v>
      </c>
      <c r="P199" s="16">
        <f>O199 * $S$3</f>
        <v>13.5</v>
      </c>
      <c r="Q199" s="16">
        <f>O199 * $S$4</f>
        <v>18</v>
      </c>
    </row>
    <row r="200" spans="1:17">
      <c r="A200" s="2">
        <v>199</v>
      </c>
      <c r="B200" s="4">
        <f t="shared" si="15"/>
        <v>4</v>
      </c>
      <c r="C200" s="4">
        <f t="shared" si="16"/>
        <v>12</v>
      </c>
      <c r="D200" s="4">
        <f t="shared" si="17"/>
        <v>2023</v>
      </c>
      <c r="E200" s="4" t="str">
        <f t="shared" si="18"/>
        <v>Mon</v>
      </c>
      <c r="F200" s="4" t="str">
        <f t="shared" si="19"/>
        <v>Dec</v>
      </c>
      <c r="G200" s="3">
        <v>45264</v>
      </c>
      <c r="H200" s="4" t="s">
        <v>164</v>
      </c>
      <c r="I200" s="4" t="s">
        <v>4</v>
      </c>
      <c r="J200" s="4" t="str" cm="1">
        <f t="array" ref="J200">_xlfn.IFS(K200&gt;=50, "Senior", K200&gt;=30, "Adult", K200&lt;30,"Young Adult")</f>
        <v>Senior</v>
      </c>
      <c r="K200" s="4">
        <v>55</v>
      </c>
      <c r="L200" s="4" t="s">
        <v>6</v>
      </c>
      <c r="M200" s="4">
        <v>3</v>
      </c>
      <c r="N200" s="22">
        <v>500</v>
      </c>
      <c r="O200" s="24">
        <f>M200 * N200</f>
        <v>1500</v>
      </c>
      <c r="P200" s="16">
        <f>O200 * $S$3</f>
        <v>22.5</v>
      </c>
      <c r="Q200" s="16">
        <f>O200 * $S$4</f>
        <v>30</v>
      </c>
    </row>
    <row r="201" spans="1:17">
      <c r="A201" s="2">
        <v>200</v>
      </c>
      <c r="B201" s="4">
        <f t="shared" si="15"/>
        <v>1</v>
      </c>
      <c r="C201" s="4">
        <f t="shared" si="16"/>
        <v>9</v>
      </c>
      <c r="D201" s="4">
        <f t="shared" si="17"/>
        <v>2023</v>
      </c>
      <c r="E201" s="4" t="str">
        <f t="shared" si="18"/>
        <v>Fri</v>
      </c>
      <c r="F201" s="4" t="str">
        <f t="shared" si="19"/>
        <v>Sep</v>
      </c>
      <c r="G201" s="3">
        <v>45170</v>
      </c>
      <c r="H201" s="4" t="s">
        <v>463</v>
      </c>
      <c r="I201" s="4" t="s">
        <v>4</v>
      </c>
      <c r="J201" s="4" t="str" cm="1">
        <f t="array" ref="J201">_xlfn.IFS(K201&gt;=50, "Senior", K201&gt;=30, "Adult", K201&lt;30,"Young Adult")</f>
        <v>Senior</v>
      </c>
      <c r="K201" s="4">
        <v>55</v>
      </c>
      <c r="L201" s="4" t="s">
        <v>6</v>
      </c>
      <c r="M201" s="4">
        <v>3</v>
      </c>
      <c r="N201" s="22">
        <v>50</v>
      </c>
      <c r="O201" s="24">
        <f>M201 * N201</f>
        <v>150</v>
      </c>
      <c r="P201" s="16">
        <f>O201 * $S$3</f>
        <v>2.25</v>
      </c>
      <c r="Q201" s="16">
        <f>O201 * $S$4</f>
        <v>3</v>
      </c>
    </row>
    <row r="202" spans="1:17">
      <c r="A202" s="2">
        <v>201</v>
      </c>
      <c r="B202" s="4">
        <f t="shared" si="15"/>
        <v>9</v>
      </c>
      <c r="C202" s="4">
        <f t="shared" si="16"/>
        <v>10</v>
      </c>
      <c r="D202" s="4">
        <f t="shared" si="17"/>
        <v>2023</v>
      </c>
      <c r="E202" s="4" t="str">
        <f t="shared" si="18"/>
        <v>Mon</v>
      </c>
      <c r="F202" s="4" t="str">
        <f t="shared" si="19"/>
        <v>Oct</v>
      </c>
      <c r="G202" s="3">
        <v>45208</v>
      </c>
      <c r="H202" s="4" t="s">
        <v>464</v>
      </c>
      <c r="I202" s="4" t="s">
        <v>4</v>
      </c>
      <c r="J202" s="4" t="str" cm="1">
        <f t="array" ref="J202">_xlfn.IFS(K202&gt;=50, "Senior", K202&gt;=30, "Adult", K202&lt;30,"Young Adult")</f>
        <v>Senior</v>
      </c>
      <c r="K202" s="4">
        <v>55</v>
      </c>
      <c r="L202" s="4" t="s">
        <v>8</v>
      </c>
      <c r="M202" s="4">
        <v>1</v>
      </c>
      <c r="N202" s="22">
        <v>25</v>
      </c>
      <c r="O202" s="24">
        <f>M202 * N202</f>
        <v>25</v>
      </c>
      <c r="P202" s="16">
        <f>O202 * $S$3</f>
        <v>0.375</v>
      </c>
      <c r="Q202" s="16">
        <f>O202 * $S$4</f>
        <v>0.5</v>
      </c>
    </row>
    <row r="203" spans="1:17">
      <c r="A203" s="2">
        <v>202</v>
      </c>
      <c r="B203" s="4">
        <f t="shared" si="15"/>
        <v>26</v>
      </c>
      <c r="C203" s="4">
        <f t="shared" si="16"/>
        <v>3</v>
      </c>
      <c r="D203" s="4">
        <f t="shared" si="17"/>
        <v>2023</v>
      </c>
      <c r="E203" s="4" t="str">
        <f t="shared" si="18"/>
        <v>Sun</v>
      </c>
      <c r="F203" s="4" t="str">
        <f t="shared" si="19"/>
        <v>Mar</v>
      </c>
      <c r="G203" s="3">
        <v>45011</v>
      </c>
      <c r="H203" s="4" t="s">
        <v>307</v>
      </c>
      <c r="I203" s="4" t="s">
        <v>3</v>
      </c>
      <c r="J203" s="4" t="str" cm="1">
        <f t="array" ref="J203">_xlfn.IFS(K203&gt;=50, "Senior", K203&gt;=30, "Adult", K203&lt;30,"Young Adult")</f>
        <v>Senior</v>
      </c>
      <c r="K203" s="4">
        <v>55</v>
      </c>
      <c r="L203" s="4" t="s">
        <v>7</v>
      </c>
      <c r="M203" s="4">
        <v>4</v>
      </c>
      <c r="N203" s="22">
        <v>300</v>
      </c>
      <c r="O203" s="24">
        <f>M203 * N203</f>
        <v>1200</v>
      </c>
      <c r="P203" s="16">
        <f>O203 * $S$3</f>
        <v>18</v>
      </c>
      <c r="Q203" s="16">
        <f>O203 * $S$4</f>
        <v>24</v>
      </c>
    </row>
    <row r="204" spans="1:17">
      <c r="A204" s="2">
        <v>203</v>
      </c>
      <c r="B204" s="4">
        <f t="shared" si="15"/>
        <v>16</v>
      </c>
      <c r="C204" s="4">
        <f t="shared" si="16"/>
        <v>5</v>
      </c>
      <c r="D204" s="4">
        <f t="shared" si="17"/>
        <v>2023</v>
      </c>
      <c r="E204" s="4" t="str">
        <f t="shared" si="18"/>
        <v>Tue</v>
      </c>
      <c r="F204" s="4" t="str">
        <f t="shared" si="19"/>
        <v>May</v>
      </c>
      <c r="G204" s="3">
        <v>45062</v>
      </c>
      <c r="H204" s="4" t="s">
        <v>465</v>
      </c>
      <c r="I204" s="4" t="s">
        <v>4</v>
      </c>
      <c r="J204" s="4" t="str" cm="1">
        <f t="array" ref="J204">_xlfn.IFS(K204&gt;=50, "Senior", K204&gt;=30, "Adult", K204&lt;30,"Young Adult")</f>
        <v>Senior</v>
      </c>
      <c r="K204" s="4">
        <v>55</v>
      </c>
      <c r="L204" s="4" t="s">
        <v>7</v>
      </c>
      <c r="M204" s="4">
        <v>2</v>
      </c>
      <c r="N204" s="22">
        <v>500</v>
      </c>
      <c r="O204" s="24">
        <f>M204 * N204</f>
        <v>1000</v>
      </c>
      <c r="P204" s="16">
        <f>O204 * $S$3</f>
        <v>15</v>
      </c>
      <c r="Q204" s="16">
        <f>O204 * $S$4</f>
        <v>20</v>
      </c>
    </row>
    <row r="205" spans="1:17">
      <c r="A205" s="2">
        <v>204</v>
      </c>
      <c r="B205" s="4">
        <f t="shared" si="15"/>
        <v>28</v>
      </c>
      <c r="C205" s="4">
        <f t="shared" si="16"/>
        <v>9</v>
      </c>
      <c r="D205" s="4">
        <f t="shared" si="17"/>
        <v>2023</v>
      </c>
      <c r="E205" s="4" t="str">
        <f t="shared" si="18"/>
        <v>Thu</v>
      </c>
      <c r="F205" s="4" t="str">
        <f t="shared" si="19"/>
        <v>Sep</v>
      </c>
      <c r="G205" s="3">
        <v>45197</v>
      </c>
      <c r="H205" s="4" t="s">
        <v>163</v>
      </c>
      <c r="I205" s="4" t="s">
        <v>4</v>
      </c>
      <c r="J205" s="4" t="str" cm="1">
        <f t="array" ref="J205">_xlfn.IFS(K205&gt;=50, "Senior", K205&gt;=30, "Adult", K205&lt;30,"Young Adult")</f>
        <v>Senior</v>
      </c>
      <c r="K205" s="4">
        <v>55</v>
      </c>
      <c r="L205" s="4" t="s">
        <v>6</v>
      </c>
      <c r="M205" s="4">
        <v>1</v>
      </c>
      <c r="N205" s="22">
        <v>25</v>
      </c>
      <c r="O205" s="24">
        <f>M205 * N205</f>
        <v>25</v>
      </c>
      <c r="P205" s="16">
        <f>O205 * $S$3</f>
        <v>0.375</v>
      </c>
      <c r="Q205" s="16">
        <f>O205 * $S$4</f>
        <v>0.5</v>
      </c>
    </row>
    <row r="206" spans="1:17">
      <c r="A206" s="2">
        <v>205</v>
      </c>
      <c r="B206" s="4">
        <f t="shared" si="15"/>
        <v>7</v>
      </c>
      <c r="C206" s="4">
        <f t="shared" si="16"/>
        <v>11</v>
      </c>
      <c r="D206" s="4">
        <f t="shared" si="17"/>
        <v>2023</v>
      </c>
      <c r="E206" s="4" t="str">
        <f t="shared" si="18"/>
        <v>Tue</v>
      </c>
      <c r="F206" s="4" t="str">
        <f t="shared" si="19"/>
        <v>Nov</v>
      </c>
      <c r="G206" s="3">
        <v>45237</v>
      </c>
      <c r="H206" s="4" t="s">
        <v>306</v>
      </c>
      <c r="I206" s="4" t="s">
        <v>3</v>
      </c>
      <c r="J206" s="4" t="str" cm="1">
        <f t="array" ref="J206">_xlfn.IFS(K206&gt;=50, "Senior", K206&gt;=30, "Adult", K206&lt;30,"Young Adult")</f>
        <v>Senior</v>
      </c>
      <c r="K206" s="4">
        <v>55</v>
      </c>
      <c r="L206" s="4" t="s">
        <v>7</v>
      </c>
      <c r="M206" s="4">
        <v>1</v>
      </c>
      <c r="N206" s="22">
        <v>25</v>
      </c>
      <c r="O206" s="24">
        <f>M206 * N206</f>
        <v>25</v>
      </c>
      <c r="P206" s="16">
        <f>O206 * $S$3</f>
        <v>0.375</v>
      </c>
      <c r="Q206" s="16">
        <f>O206 * $S$4</f>
        <v>0.5</v>
      </c>
    </row>
    <row r="207" spans="1:17">
      <c r="A207" s="2">
        <v>206</v>
      </c>
      <c r="B207" s="4">
        <f t="shared" si="15"/>
        <v>5</v>
      </c>
      <c r="C207" s="4">
        <f t="shared" si="16"/>
        <v>8</v>
      </c>
      <c r="D207" s="4">
        <f t="shared" si="17"/>
        <v>2023</v>
      </c>
      <c r="E207" s="4" t="str">
        <f t="shared" si="18"/>
        <v>Sat</v>
      </c>
      <c r="F207" s="4" t="str">
        <f t="shared" si="19"/>
        <v>Aug</v>
      </c>
      <c r="G207" s="3">
        <v>45143</v>
      </c>
      <c r="H207" s="4" t="s">
        <v>466</v>
      </c>
      <c r="I207" s="4" t="s">
        <v>4</v>
      </c>
      <c r="J207" s="4" t="str" cm="1">
        <f t="array" ref="J207">_xlfn.IFS(K207&gt;=50, "Senior", K207&gt;=30, "Adult", K207&lt;30,"Young Adult")</f>
        <v>Senior</v>
      </c>
      <c r="K207" s="4">
        <v>55</v>
      </c>
      <c r="L207" s="4" t="s">
        <v>7</v>
      </c>
      <c r="M207" s="4">
        <v>1</v>
      </c>
      <c r="N207" s="22">
        <v>25</v>
      </c>
      <c r="O207" s="24">
        <f>M207 * N207</f>
        <v>25</v>
      </c>
      <c r="P207" s="16">
        <f>O207 * $S$3</f>
        <v>0.375</v>
      </c>
      <c r="Q207" s="16">
        <f>O207 * $S$4</f>
        <v>0.5</v>
      </c>
    </row>
    <row r="208" spans="1:17">
      <c r="A208" s="2">
        <v>207</v>
      </c>
      <c r="B208" s="4">
        <f t="shared" si="15"/>
        <v>19</v>
      </c>
      <c r="C208" s="4">
        <f t="shared" si="16"/>
        <v>4</v>
      </c>
      <c r="D208" s="4">
        <f t="shared" si="17"/>
        <v>2023</v>
      </c>
      <c r="E208" s="4" t="str">
        <f t="shared" si="18"/>
        <v>Wed</v>
      </c>
      <c r="F208" s="4" t="str">
        <f t="shared" si="19"/>
        <v>Apr</v>
      </c>
      <c r="G208" s="3">
        <v>45035</v>
      </c>
      <c r="H208" s="4" t="s">
        <v>162</v>
      </c>
      <c r="I208" s="4" t="s">
        <v>3</v>
      </c>
      <c r="J208" s="4" t="str" cm="1">
        <f t="array" ref="J208">_xlfn.IFS(K208&gt;=50, "Senior", K208&gt;=30, "Adult", K208&lt;30,"Young Adult")</f>
        <v>Senior</v>
      </c>
      <c r="K208" s="4">
        <v>55</v>
      </c>
      <c r="L208" s="4" t="s">
        <v>6</v>
      </c>
      <c r="M208" s="4">
        <v>2</v>
      </c>
      <c r="N208" s="22">
        <v>25</v>
      </c>
      <c r="O208" s="24">
        <f>M208 * N208</f>
        <v>50</v>
      </c>
      <c r="P208" s="16">
        <f>O208 * $S$3</f>
        <v>0.75</v>
      </c>
      <c r="Q208" s="16">
        <f>O208 * $S$4</f>
        <v>1</v>
      </c>
    </row>
    <row r="209" spans="1:17">
      <c r="A209" s="2">
        <v>208</v>
      </c>
      <c r="B209" s="4">
        <f t="shared" si="15"/>
        <v>4</v>
      </c>
      <c r="C209" s="4">
        <f t="shared" si="16"/>
        <v>10</v>
      </c>
      <c r="D209" s="4">
        <f t="shared" si="17"/>
        <v>2023</v>
      </c>
      <c r="E209" s="4" t="str">
        <f t="shared" si="18"/>
        <v>Wed</v>
      </c>
      <c r="F209" s="4" t="str">
        <f t="shared" si="19"/>
        <v>Oct</v>
      </c>
      <c r="G209" s="3">
        <v>45203</v>
      </c>
      <c r="H209" s="4" t="s">
        <v>467</v>
      </c>
      <c r="I209" s="4" t="s">
        <v>3</v>
      </c>
      <c r="J209" s="4" t="str" cm="1">
        <f t="array" ref="J209">_xlfn.IFS(K209&gt;=50, "Senior", K209&gt;=30, "Adult", K209&lt;30,"Young Adult")</f>
        <v>Senior</v>
      </c>
      <c r="K209" s="4">
        <v>55</v>
      </c>
      <c r="L209" s="4" t="s">
        <v>8</v>
      </c>
      <c r="M209" s="4">
        <v>4</v>
      </c>
      <c r="N209" s="22">
        <v>50</v>
      </c>
      <c r="O209" s="24">
        <f>M209 * N209</f>
        <v>200</v>
      </c>
      <c r="P209" s="16">
        <f>O209 * $S$3</f>
        <v>3</v>
      </c>
      <c r="Q209" s="16">
        <f>O209 * $S$4</f>
        <v>4</v>
      </c>
    </row>
    <row r="210" spans="1:17">
      <c r="A210" s="2">
        <v>209</v>
      </c>
      <c r="B210" s="4">
        <f t="shared" si="15"/>
        <v>20</v>
      </c>
      <c r="C210" s="4">
        <f t="shared" si="16"/>
        <v>12</v>
      </c>
      <c r="D210" s="4">
        <f t="shared" si="17"/>
        <v>2023</v>
      </c>
      <c r="E210" s="4" t="str">
        <f t="shared" si="18"/>
        <v>Wed</v>
      </c>
      <c r="F210" s="4" t="str">
        <f t="shared" si="19"/>
        <v>Dec</v>
      </c>
      <c r="G210" s="3">
        <v>45280</v>
      </c>
      <c r="H210" s="4" t="s">
        <v>468</v>
      </c>
      <c r="I210" s="4" t="s">
        <v>3</v>
      </c>
      <c r="J210" s="4" t="str" cm="1">
        <f t="array" ref="J210">_xlfn.IFS(K210&gt;=50, "Senior", K210&gt;=30, "Adult", K210&lt;30,"Young Adult")</f>
        <v>Senior</v>
      </c>
      <c r="K210" s="4">
        <v>55</v>
      </c>
      <c r="L210" s="4" t="s">
        <v>8</v>
      </c>
      <c r="M210" s="4">
        <v>4</v>
      </c>
      <c r="N210" s="22">
        <v>50</v>
      </c>
      <c r="O210" s="24">
        <f>M210 * N210</f>
        <v>200</v>
      </c>
      <c r="P210" s="16">
        <f>O210 * $S$3</f>
        <v>3</v>
      </c>
      <c r="Q210" s="16">
        <f>O210 * $S$4</f>
        <v>4</v>
      </c>
    </row>
    <row r="211" spans="1:17">
      <c r="A211" s="2">
        <v>210</v>
      </c>
      <c r="B211" s="4">
        <f t="shared" si="15"/>
        <v>13</v>
      </c>
      <c r="C211" s="4">
        <f t="shared" si="16"/>
        <v>4</v>
      </c>
      <c r="D211" s="4">
        <f t="shared" si="17"/>
        <v>2023</v>
      </c>
      <c r="E211" s="4" t="str">
        <f t="shared" si="18"/>
        <v>Thu</v>
      </c>
      <c r="F211" s="4" t="str">
        <f t="shared" si="19"/>
        <v>Apr</v>
      </c>
      <c r="G211" s="3">
        <v>45029</v>
      </c>
      <c r="H211" s="4" t="s">
        <v>469</v>
      </c>
      <c r="I211" s="4" t="s">
        <v>4</v>
      </c>
      <c r="J211" s="4" t="str" cm="1">
        <f t="array" ref="J211">_xlfn.IFS(K211&gt;=50, "Senior", K211&gt;=30, "Adult", K211&lt;30,"Young Adult")</f>
        <v>Senior</v>
      </c>
      <c r="K211" s="4">
        <v>55</v>
      </c>
      <c r="L211" s="4" t="s">
        <v>8</v>
      </c>
      <c r="M211" s="4">
        <v>4</v>
      </c>
      <c r="N211" s="22">
        <v>50</v>
      </c>
      <c r="O211" s="24">
        <f>M211 * N211</f>
        <v>200</v>
      </c>
      <c r="P211" s="16">
        <f>O211 * $S$3</f>
        <v>3</v>
      </c>
      <c r="Q211" s="16">
        <f>O211 * $S$4</f>
        <v>4</v>
      </c>
    </row>
    <row r="212" spans="1:17">
      <c r="A212" s="2">
        <v>211</v>
      </c>
      <c r="B212" s="4">
        <f t="shared" si="15"/>
        <v>1</v>
      </c>
      <c r="C212" s="4">
        <f t="shared" si="16"/>
        <v>1</v>
      </c>
      <c r="D212" s="4">
        <f t="shared" si="17"/>
        <v>2024</v>
      </c>
      <c r="E212" s="4" t="str">
        <f t="shared" si="18"/>
        <v>Mon</v>
      </c>
      <c r="F212" s="4" t="str">
        <f t="shared" si="19"/>
        <v>Jan</v>
      </c>
      <c r="G212" s="3">
        <v>45292</v>
      </c>
      <c r="H212" s="4" t="s">
        <v>161</v>
      </c>
      <c r="I212" s="4" t="s">
        <v>4</v>
      </c>
      <c r="J212" s="4" t="str" cm="1">
        <f t="array" ref="J212">_xlfn.IFS(K212&gt;=50, "Senior", K212&gt;=30, "Adult", K212&lt;30,"Young Adult")</f>
        <v>Senior</v>
      </c>
      <c r="K212" s="4">
        <v>55</v>
      </c>
      <c r="L212" s="4" t="s">
        <v>6</v>
      </c>
      <c r="M212" s="4">
        <v>3</v>
      </c>
      <c r="N212" s="22">
        <v>500</v>
      </c>
      <c r="O212" s="24">
        <f>M212 * N212</f>
        <v>1500</v>
      </c>
      <c r="P212" s="16">
        <f>O212 * $S$3</f>
        <v>22.5</v>
      </c>
      <c r="Q212" s="16">
        <f>O212 * $S$4</f>
        <v>30</v>
      </c>
    </row>
    <row r="213" spans="1:17">
      <c r="A213" s="2">
        <v>212</v>
      </c>
      <c r="B213" s="4">
        <f t="shared" si="15"/>
        <v>9</v>
      </c>
      <c r="C213" s="4">
        <f t="shared" si="16"/>
        <v>6</v>
      </c>
      <c r="D213" s="4">
        <f t="shared" si="17"/>
        <v>2023</v>
      </c>
      <c r="E213" s="4" t="str">
        <f t="shared" si="18"/>
        <v>Fri</v>
      </c>
      <c r="F213" s="4" t="str">
        <f t="shared" si="19"/>
        <v>Jun</v>
      </c>
      <c r="G213" s="3">
        <v>45086</v>
      </c>
      <c r="H213" s="4" t="s">
        <v>470</v>
      </c>
      <c r="I213" s="4" t="s">
        <v>4</v>
      </c>
      <c r="J213" s="4" t="str" cm="1">
        <f t="array" ref="J213">_xlfn.IFS(K213&gt;=50, "Senior", K213&gt;=30, "Adult", K213&lt;30,"Young Adult")</f>
        <v>Senior</v>
      </c>
      <c r="K213" s="4">
        <v>55</v>
      </c>
      <c r="L213" s="4" t="s">
        <v>7</v>
      </c>
      <c r="M213" s="4">
        <v>3</v>
      </c>
      <c r="N213" s="22">
        <v>500</v>
      </c>
      <c r="O213" s="24">
        <f>M213 * N213</f>
        <v>1500</v>
      </c>
      <c r="P213" s="16">
        <f>O213 * $S$3</f>
        <v>22.5</v>
      </c>
      <c r="Q213" s="16">
        <f>O213 * $S$4</f>
        <v>30</v>
      </c>
    </row>
    <row r="214" spans="1:17">
      <c r="A214" s="2">
        <v>213</v>
      </c>
      <c r="B214" s="4">
        <f t="shared" si="15"/>
        <v>24</v>
      </c>
      <c r="C214" s="4">
        <f t="shared" si="16"/>
        <v>7</v>
      </c>
      <c r="D214" s="4">
        <f t="shared" si="17"/>
        <v>2023</v>
      </c>
      <c r="E214" s="4" t="str">
        <f t="shared" si="18"/>
        <v>Mon</v>
      </c>
      <c r="F214" s="4" t="str">
        <f t="shared" si="19"/>
        <v>Jul</v>
      </c>
      <c r="G214" s="3">
        <v>45131</v>
      </c>
      <c r="H214" s="4" t="s">
        <v>471</v>
      </c>
      <c r="I214" s="4" t="s">
        <v>4</v>
      </c>
      <c r="J214" s="4" t="str" cm="1">
        <f t="array" ref="J214">_xlfn.IFS(K214&gt;=50, "Senior", K214&gt;=30, "Adult", K214&lt;30,"Young Adult")</f>
        <v>Senior</v>
      </c>
      <c r="K214" s="4">
        <v>55</v>
      </c>
      <c r="L214" s="4" t="s">
        <v>6</v>
      </c>
      <c r="M214" s="4">
        <v>3</v>
      </c>
      <c r="N214" s="22">
        <v>500</v>
      </c>
      <c r="O214" s="24">
        <f>M214 * N214</f>
        <v>1500</v>
      </c>
      <c r="P214" s="16">
        <f>O214 * $S$3</f>
        <v>22.5</v>
      </c>
      <c r="Q214" s="16">
        <f>O214 * $S$4</f>
        <v>30</v>
      </c>
    </row>
    <row r="215" spans="1:17">
      <c r="A215" s="2">
        <v>214</v>
      </c>
      <c r="B215" s="4">
        <f t="shared" si="15"/>
        <v>10</v>
      </c>
      <c r="C215" s="4">
        <f t="shared" si="16"/>
        <v>12</v>
      </c>
      <c r="D215" s="4">
        <f t="shared" si="17"/>
        <v>2023</v>
      </c>
      <c r="E215" s="4" t="str">
        <f t="shared" si="18"/>
        <v>Sun</v>
      </c>
      <c r="F215" s="4" t="str">
        <f t="shared" si="19"/>
        <v>Dec</v>
      </c>
      <c r="G215" s="3">
        <v>45270</v>
      </c>
      <c r="H215" s="4" t="s">
        <v>472</v>
      </c>
      <c r="I215" s="4" t="s">
        <v>4</v>
      </c>
      <c r="J215" s="4" t="str" cm="1">
        <f t="array" ref="J215">_xlfn.IFS(K215&gt;=50, "Senior", K215&gt;=30, "Adult", K215&lt;30,"Young Adult")</f>
        <v>Senior</v>
      </c>
      <c r="K215" s="4">
        <v>55</v>
      </c>
      <c r="L215" s="4" t="s">
        <v>6</v>
      </c>
      <c r="M215" s="4">
        <v>2</v>
      </c>
      <c r="N215" s="22">
        <v>30</v>
      </c>
      <c r="O215" s="24">
        <f>M215 * N215</f>
        <v>60</v>
      </c>
      <c r="P215" s="16">
        <f>O215 * $S$3</f>
        <v>0.89999999999999991</v>
      </c>
      <c r="Q215" s="16">
        <f>O215 * $S$4</f>
        <v>1.2</v>
      </c>
    </row>
    <row r="216" spans="1:17">
      <c r="A216" s="2">
        <v>215</v>
      </c>
      <c r="B216" s="4">
        <f t="shared" si="15"/>
        <v>29</v>
      </c>
      <c r="C216" s="4">
        <f t="shared" si="16"/>
        <v>11</v>
      </c>
      <c r="D216" s="4">
        <f t="shared" si="17"/>
        <v>2023</v>
      </c>
      <c r="E216" s="4" t="str">
        <f t="shared" si="18"/>
        <v>Wed</v>
      </c>
      <c r="F216" s="4" t="str">
        <f t="shared" si="19"/>
        <v>Nov</v>
      </c>
      <c r="G216" s="3">
        <v>45259</v>
      </c>
      <c r="H216" s="4" t="s">
        <v>473</v>
      </c>
      <c r="I216" s="4" t="s">
        <v>4</v>
      </c>
      <c r="J216" s="4" t="str" cm="1">
        <f t="array" ref="J216">_xlfn.IFS(K216&gt;=50, "Senior", K216&gt;=30, "Adult", K216&lt;30,"Young Adult")</f>
        <v>Senior</v>
      </c>
      <c r="K216" s="4">
        <v>55</v>
      </c>
      <c r="L216" s="4" t="s">
        <v>7</v>
      </c>
      <c r="M216" s="4">
        <v>3</v>
      </c>
      <c r="N216" s="22">
        <v>500</v>
      </c>
      <c r="O216" s="24">
        <f>M216 * N216</f>
        <v>1500</v>
      </c>
      <c r="P216" s="16">
        <f>O216 * $S$3</f>
        <v>22.5</v>
      </c>
      <c r="Q216" s="16">
        <f>O216 * $S$4</f>
        <v>30</v>
      </c>
    </row>
    <row r="217" spans="1:17">
      <c r="A217" s="2">
        <v>216</v>
      </c>
      <c r="B217" s="4">
        <f t="shared" si="15"/>
        <v>11</v>
      </c>
      <c r="C217" s="4">
        <f t="shared" si="16"/>
        <v>7</v>
      </c>
      <c r="D217" s="4">
        <f t="shared" si="17"/>
        <v>2023</v>
      </c>
      <c r="E217" s="4" t="str">
        <f t="shared" si="18"/>
        <v>Tue</v>
      </c>
      <c r="F217" s="4" t="str">
        <f t="shared" si="19"/>
        <v>Jul</v>
      </c>
      <c r="G217" s="3">
        <v>45118</v>
      </c>
      <c r="H217" s="4" t="s">
        <v>474</v>
      </c>
      <c r="I217" s="4" t="s">
        <v>4</v>
      </c>
      <c r="J217" s="4" t="str" cm="1">
        <f t="array" ref="J217">_xlfn.IFS(K217&gt;=50, "Senior", K217&gt;=30, "Adult", K217&lt;30,"Young Adult")</f>
        <v>Senior</v>
      </c>
      <c r="K217" s="4">
        <v>55</v>
      </c>
      <c r="L217" s="4" t="s">
        <v>8</v>
      </c>
      <c r="M217" s="4">
        <v>2</v>
      </c>
      <c r="N217" s="22">
        <v>50</v>
      </c>
      <c r="O217" s="24">
        <f>M217 * N217</f>
        <v>100</v>
      </c>
      <c r="P217" s="16">
        <f>O217 * $S$3</f>
        <v>1.5</v>
      </c>
      <c r="Q217" s="16">
        <f>O217 * $S$4</f>
        <v>2</v>
      </c>
    </row>
    <row r="218" spans="1:17">
      <c r="A218" s="2">
        <v>217</v>
      </c>
      <c r="B218" s="4">
        <f t="shared" si="15"/>
        <v>13</v>
      </c>
      <c r="C218" s="4">
        <f t="shared" si="16"/>
        <v>8</v>
      </c>
      <c r="D218" s="4">
        <f t="shared" si="17"/>
        <v>2023</v>
      </c>
      <c r="E218" s="4" t="str">
        <f t="shared" si="18"/>
        <v>Sun</v>
      </c>
      <c r="F218" s="4" t="str">
        <f t="shared" si="19"/>
        <v>Aug</v>
      </c>
      <c r="G218" s="3">
        <v>45151</v>
      </c>
      <c r="H218" s="4" t="s">
        <v>475</v>
      </c>
      <c r="I218" s="4" t="s">
        <v>3</v>
      </c>
      <c r="J218" s="4" t="str" cm="1">
        <f t="array" ref="J218">_xlfn.IFS(K218&gt;=50, "Senior", K218&gt;=30, "Adult", K218&lt;30,"Young Adult")</f>
        <v>Senior</v>
      </c>
      <c r="K218" s="4">
        <v>54</v>
      </c>
      <c r="L218" s="4" t="s">
        <v>8</v>
      </c>
      <c r="M218" s="4">
        <v>4</v>
      </c>
      <c r="N218" s="22">
        <v>50</v>
      </c>
      <c r="O218" s="24">
        <f>M218 * N218</f>
        <v>200</v>
      </c>
      <c r="P218" s="16">
        <f>O218 * $S$3</f>
        <v>3</v>
      </c>
      <c r="Q218" s="16">
        <f>O218 * $S$4</f>
        <v>4</v>
      </c>
    </row>
    <row r="219" spans="1:17">
      <c r="A219" s="2">
        <v>218</v>
      </c>
      <c r="B219" s="4">
        <f t="shared" si="15"/>
        <v>22</v>
      </c>
      <c r="C219" s="4">
        <f t="shared" si="16"/>
        <v>9</v>
      </c>
      <c r="D219" s="4">
        <f t="shared" si="17"/>
        <v>2023</v>
      </c>
      <c r="E219" s="4" t="str">
        <f t="shared" si="18"/>
        <v>Fri</v>
      </c>
      <c r="F219" s="4" t="str">
        <f t="shared" si="19"/>
        <v>Sep</v>
      </c>
      <c r="G219" s="3">
        <v>45191</v>
      </c>
      <c r="H219" s="4" t="s">
        <v>476</v>
      </c>
      <c r="I219" s="4" t="s">
        <v>4</v>
      </c>
      <c r="J219" s="4" t="str" cm="1">
        <f t="array" ref="J219">_xlfn.IFS(K219&gt;=50, "Senior", K219&gt;=30, "Adult", K219&lt;30,"Young Adult")</f>
        <v>Senior</v>
      </c>
      <c r="K219" s="4">
        <v>54</v>
      </c>
      <c r="L219" s="4" t="s">
        <v>6</v>
      </c>
      <c r="M219" s="4">
        <v>3</v>
      </c>
      <c r="N219" s="22">
        <v>30</v>
      </c>
      <c r="O219" s="24">
        <f>M219 * N219</f>
        <v>90</v>
      </c>
      <c r="P219" s="16">
        <f>O219 * $S$3</f>
        <v>1.3499999999999999</v>
      </c>
      <c r="Q219" s="16">
        <f>O219 * $S$4</f>
        <v>1.8</v>
      </c>
    </row>
    <row r="220" spans="1:17">
      <c r="A220" s="2">
        <v>219</v>
      </c>
      <c r="B220" s="4">
        <f t="shared" si="15"/>
        <v>20</v>
      </c>
      <c r="C220" s="4">
        <f t="shared" si="16"/>
        <v>8</v>
      </c>
      <c r="D220" s="4">
        <f t="shared" si="17"/>
        <v>2023</v>
      </c>
      <c r="E220" s="4" t="str">
        <f t="shared" si="18"/>
        <v>Sun</v>
      </c>
      <c r="F220" s="4" t="str">
        <f t="shared" si="19"/>
        <v>Aug</v>
      </c>
      <c r="G220" s="3">
        <v>45158</v>
      </c>
      <c r="H220" s="4" t="s">
        <v>477</v>
      </c>
      <c r="I220" s="4" t="s">
        <v>3</v>
      </c>
      <c r="J220" s="4" t="str" cm="1">
        <f t="array" ref="J220">_xlfn.IFS(K220&gt;=50, "Senior", K220&gt;=30, "Adult", K220&lt;30,"Young Adult")</f>
        <v>Senior</v>
      </c>
      <c r="K220" s="4">
        <v>54</v>
      </c>
      <c r="L220" s="4" t="s">
        <v>8</v>
      </c>
      <c r="M220" s="4">
        <v>3</v>
      </c>
      <c r="N220" s="22">
        <v>30</v>
      </c>
      <c r="O220" s="24">
        <f>M220 * N220</f>
        <v>90</v>
      </c>
      <c r="P220" s="16">
        <f>O220 * $S$3</f>
        <v>1.3499999999999999</v>
      </c>
      <c r="Q220" s="16">
        <f>O220 * $S$4</f>
        <v>1.8</v>
      </c>
    </row>
    <row r="221" spans="1:17">
      <c r="A221" s="2">
        <v>220</v>
      </c>
      <c r="B221" s="4">
        <f t="shared" si="15"/>
        <v>3</v>
      </c>
      <c r="C221" s="4">
        <f t="shared" si="16"/>
        <v>3</v>
      </c>
      <c r="D221" s="4">
        <f t="shared" si="17"/>
        <v>2023</v>
      </c>
      <c r="E221" s="4" t="str">
        <f t="shared" si="18"/>
        <v>Fri</v>
      </c>
      <c r="F221" s="4" t="str">
        <f t="shared" si="19"/>
        <v>Mar</v>
      </c>
      <c r="G221" s="3">
        <v>44988</v>
      </c>
      <c r="H221" s="4" t="s">
        <v>478</v>
      </c>
      <c r="I221" s="4" t="s">
        <v>4</v>
      </c>
      <c r="J221" s="4" t="str" cm="1">
        <f t="array" ref="J221">_xlfn.IFS(K221&gt;=50, "Senior", K221&gt;=30, "Adult", K221&lt;30,"Young Adult")</f>
        <v>Senior</v>
      </c>
      <c r="K221" s="4">
        <v>54</v>
      </c>
      <c r="L221" s="4" t="s">
        <v>6</v>
      </c>
      <c r="M221" s="4">
        <v>1</v>
      </c>
      <c r="N221" s="22">
        <v>500</v>
      </c>
      <c r="O221" s="24">
        <f>M221 * N221</f>
        <v>500</v>
      </c>
      <c r="P221" s="16">
        <f>O221 * $S$3</f>
        <v>7.5</v>
      </c>
      <c r="Q221" s="16">
        <f>O221 * $S$4</f>
        <v>10</v>
      </c>
    </row>
    <row r="222" spans="1:17">
      <c r="A222" s="2">
        <v>221</v>
      </c>
      <c r="B222" s="4">
        <f t="shared" si="15"/>
        <v>7</v>
      </c>
      <c r="C222" s="4">
        <f t="shared" si="16"/>
        <v>5</v>
      </c>
      <c r="D222" s="4">
        <f t="shared" si="17"/>
        <v>2023</v>
      </c>
      <c r="E222" s="4" t="str">
        <f t="shared" si="18"/>
        <v>Sun</v>
      </c>
      <c r="F222" s="4" t="str">
        <f t="shared" si="19"/>
        <v>May</v>
      </c>
      <c r="G222" s="3">
        <v>45053</v>
      </c>
      <c r="H222" s="4" t="s">
        <v>160</v>
      </c>
      <c r="I222" s="4" t="s">
        <v>4</v>
      </c>
      <c r="J222" s="4" t="str" cm="1">
        <f t="array" ref="J222">_xlfn.IFS(K222&gt;=50, "Senior", K222&gt;=30, "Adult", K222&lt;30,"Young Adult")</f>
        <v>Senior</v>
      </c>
      <c r="K222" s="4">
        <v>54</v>
      </c>
      <c r="L222" s="4" t="s">
        <v>6</v>
      </c>
      <c r="M222" s="4">
        <v>2</v>
      </c>
      <c r="N222" s="22">
        <v>300</v>
      </c>
      <c r="O222" s="24">
        <f>M222 * N222</f>
        <v>600</v>
      </c>
      <c r="P222" s="16">
        <f>O222 * $S$3</f>
        <v>9</v>
      </c>
      <c r="Q222" s="16">
        <f>O222 * $S$4</f>
        <v>12</v>
      </c>
    </row>
    <row r="223" spans="1:17">
      <c r="A223" s="2">
        <v>222</v>
      </c>
      <c r="B223" s="4">
        <f t="shared" si="15"/>
        <v>26</v>
      </c>
      <c r="C223" s="4">
        <f t="shared" si="16"/>
        <v>4</v>
      </c>
      <c r="D223" s="4">
        <f t="shared" si="17"/>
        <v>2023</v>
      </c>
      <c r="E223" s="4" t="str">
        <f t="shared" si="18"/>
        <v>Wed</v>
      </c>
      <c r="F223" s="4" t="str">
        <f t="shared" si="19"/>
        <v>Apr</v>
      </c>
      <c r="G223" s="3">
        <v>45042</v>
      </c>
      <c r="H223" s="4" t="s">
        <v>479</v>
      </c>
      <c r="I223" s="4" t="s">
        <v>4</v>
      </c>
      <c r="J223" s="4" t="str" cm="1">
        <f t="array" ref="J223">_xlfn.IFS(K223&gt;=50, "Senior", K223&gt;=30, "Adult", K223&lt;30,"Young Adult")</f>
        <v>Senior</v>
      </c>
      <c r="K223" s="4">
        <v>54</v>
      </c>
      <c r="L223" s="4" t="s">
        <v>7</v>
      </c>
      <c r="M223" s="4">
        <v>4</v>
      </c>
      <c r="N223" s="22">
        <v>30</v>
      </c>
      <c r="O223" s="24">
        <f>M223 * N223</f>
        <v>120</v>
      </c>
      <c r="P223" s="16">
        <f>O223 * $S$3</f>
        <v>1.7999999999999998</v>
      </c>
      <c r="Q223" s="16">
        <f>O223 * $S$4</f>
        <v>2.4</v>
      </c>
    </row>
    <row r="224" spans="1:17">
      <c r="A224" s="2">
        <v>223</v>
      </c>
      <c r="B224" s="4">
        <f t="shared" si="15"/>
        <v>2</v>
      </c>
      <c r="C224" s="4">
        <f t="shared" si="16"/>
        <v>2</v>
      </c>
      <c r="D224" s="4">
        <f t="shared" si="17"/>
        <v>2023</v>
      </c>
      <c r="E224" s="4" t="str">
        <f t="shared" si="18"/>
        <v>Thu</v>
      </c>
      <c r="F224" s="4" t="str">
        <f t="shared" si="19"/>
        <v>Feb</v>
      </c>
      <c r="G224" s="3">
        <v>44959</v>
      </c>
      <c r="H224" s="4" t="s">
        <v>480</v>
      </c>
      <c r="I224" s="4" t="s">
        <v>3</v>
      </c>
      <c r="J224" s="4" t="str" cm="1">
        <f t="array" ref="J224">_xlfn.IFS(K224&gt;=50, "Senior", K224&gt;=30, "Adult", K224&lt;30,"Young Adult")</f>
        <v>Senior</v>
      </c>
      <c r="K224" s="4">
        <v>54</v>
      </c>
      <c r="L224" s="4" t="s">
        <v>7</v>
      </c>
      <c r="M224" s="4">
        <v>1</v>
      </c>
      <c r="N224" s="22">
        <v>25</v>
      </c>
      <c r="O224" s="24">
        <f>M224 * N224</f>
        <v>25</v>
      </c>
      <c r="P224" s="16">
        <f>O224 * $S$3</f>
        <v>0.375</v>
      </c>
      <c r="Q224" s="16">
        <f>O224 * $S$4</f>
        <v>0.5</v>
      </c>
    </row>
    <row r="225" spans="1:17">
      <c r="A225" s="2">
        <v>224</v>
      </c>
      <c r="B225" s="4">
        <f t="shared" si="15"/>
        <v>23</v>
      </c>
      <c r="C225" s="4">
        <f t="shared" si="16"/>
        <v>6</v>
      </c>
      <c r="D225" s="4">
        <f t="shared" si="17"/>
        <v>2023</v>
      </c>
      <c r="E225" s="4" t="str">
        <f t="shared" si="18"/>
        <v>Fri</v>
      </c>
      <c r="F225" s="4" t="str">
        <f t="shared" si="19"/>
        <v>Jun</v>
      </c>
      <c r="G225" s="3">
        <v>45100</v>
      </c>
      <c r="H225" s="4" t="s">
        <v>481</v>
      </c>
      <c r="I225" s="4" t="s">
        <v>3</v>
      </c>
      <c r="J225" s="4" t="str" cm="1">
        <f t="array" ref="J225">_xlfn.IFS(K225&gt;=50, "Senior", K225&gt;=30, "Adult", K225&lt;30,"Young Adult")</f>
        <v>Senior</v>
      </c>
      <c r="K225" s="4">
        <v>54</v>
      </c>
      <c r="L225" s="4" t="s">
        <v>7</v>
      </c>
      <c r="M225" s="4">
        <v>1</v>
      </c>
      <c r="N225" s="22">
        <v>50</v>
      </c>
      <c r="O225" s="24">
        <f>M225 * N225</f>
        <v>50</v>
      </c>
      <c r="P225" s="16">
        <f>O225 * $S$3</f>
        <v>0.75</v>
      </c>
      <c r="Q225" s="16">
        <f>O225 * $S$4</f>
        <v>1</v>
      </c>
    </row>
    <row r="226" spans="1:17">
      <c r="A226" s="2">
        <v>225</v>
      </c>
      <c r="B226" s="4">
        <f t="shared" si="15"/>
        <v>11</v>
      </c>
      <c r="C226" s="4">
        <f t="shared" si="16"/>
        <v>1</v>
      </c>
      <c r="D226" s="4">
        <f t="shared" si="17"/>
        <v>2023</v>
      </c>
      <c r="E226" s="4" t="str">
        <f t="shared" si="18"/>
        <v>Wed</v>
      </c>
      <c r="F226" s="4" t="str">
        <f t="shared" si="19"/>
        <v>Jan</v>
      </c>
      <c r="G226" s="3">
        <v>44937</v>
      </c>
      <c r="H226" s="4" t="s">
        <v>482</v>
      </c>
      <c r="I226" s="4" t="s">
        <v>3</v>
      </c>
      <c r="J226" s="4" t="str" cm="1">
        <f t="array" ref="J226">_xlfn.IFS(K226&gt;=50, "Senior", K226&gt;=30, "Adult", K226&lt;30,"Young Adult")</f>
        <v>Senior</v>
      </c>
      <c r="K226" s="4">
        <v>54</v>
      </c>
      <c r="L226" s="4" t="s">
        <v>6</v>
      </c>
      <c r="M226" s="4">
        <v>4</v>
      </c>
      <c r="N226" s="22">
        <v>25</v>
      </c>
      <c r="O226" s="24">
        <f>M226 * N226</f>
        <v>100</v>
      </c>
      <c r="P226" s="16">
        <f>O226 * $S$3</f>
        <v>1.5</v>
      </c>
      <c r="Q226" s="16">
        <f>O226 * $S$4</f>
        <v>2</v>
      </c>
    </row>
    <row r="227" spans="1:17">
      <c r="A227" s="2">
        <v>226</v>
      </c>
      <c r="B227" s="4">
        <f t="shared" si="15"/>
        <v>29</v>
      </c>
      <c r="C227" s="4">
        <f t="shared" si="16"/>
        <v>10</v>
      </c>
      <c r="D227" s="4">
        <f t="shared" si="17"/>
        <v>2023</v>
      </c>
      <c r="E227" s="4" t="str">
        <f t="shared" si="18"/>
        <v>Sun</v>
      </c>
      <c r="F227" s="4" t="str">
        <f t="shared" si="19"/>
        <v>Oct</v>
      </c>
      <c r="G227" s="3">
        <v>45228</v>
      </c>
      <c r="H227" s="4" t="s">
        <v>483</v>
      </c>
      <c r="I227" s="4" t="s">
        <v>3</v>
      </c>
      <c r="J227" s="4" t="str" cm="1">
        <f t="array" ref="J227">_xlfn.IFS(K227&gt;=50, "Senior", K227&gt;=30, "Adult", K227&lt;30,"Young Adult")</f>
        <v>Senior</v>
      </c>
      <c r="K227" s="4">
        <v>54</v>
      </c>
      <c r="L227" s="4" t="s">
        <v>7</v>
      </c>
      <c r="M227" s="4">
        <v>1</v>
      </c>
      <c r="N227" s="22">
        <v>50</v>
      </c>
      <c r="O227" s="24">
        <f>M227 * N227</f>
        <v>50</v>
      </c>
      <c r="P227" s="16">
        <f>O227 * $S$3</f>
        <v>0.75</v>
      </c>
      <c r="Q227" s="16">
        <f>O227 * $S$4</f>
        <v>1</v>
      </c>
    </row>
    <row r="228" spans="1:17">
      <c r="A228" s="2">
        <v>227</v>
      </c>
      <c r="B228" s="4">
        <f t="shared" si="15"/>
        <v>11</v>
      </c>
      <c r="C228" s="4">
        <f t="shared" si="16"/>
        <v>10</v>
      </c>
      <c r="D228" s="4">
        <f t="shared" si="17"/>
        <v>2023</v>
      </c>
      <c r="E228" s="4" t="str">
        <f t="shared" si="18"/>
        <v>Wed</v>
      </c>
      <c r="F228" s="4" t="str">
        <f t="shared" si="19"/>
        <v>Oct</v>
      </c>
      <c r="G228" s="3">
        <v>45210</v>
      </c>
      <c r="H228" s="4" t="s">
        <v>484</v>
      </c>
      <c r="I228" s="4" t="s">
        <v>4</v>
      </c>
      <c r="J228" s="4" t="str" cm="1">
        <f t="array" ref="J228">_xlfn.IFS(K228&gt;=50, "Senior", K228&gt;=30, "Adult", K228&lt;30,"Young Adult")</f>
        <v>Senior</v>
      </c>
      <c r="K228" s="4">
        <v>54</v>
      </c>
      <c r="L228" s="4" t="s">
        <v>8</v>
      </c>
      <c r="M228" s="4">
        <v>2</v>
      </c>
      <c r="N228" s="22">
        <v>50</v>
      </c>
      <c r="O228" s="24">
        <f>M228 * N228</f>
        <v>100</v>
      </c>
      <c r="P228" s="16">
        <f>O228 * $S$3</f>
        <v>1.5</v>
      </c>
      <c r="Q228" s="16">
        <f>O228 * $S$4</f>
        <v>2</v>
      </c>
    </row>
    <row r="229" spans="1:17">
      <c r="A229" s="2">
        <v>228</v>
      </c>
      <c r="B229" s="4">
        <f t="shared" si="15"/>
        <v>28</v>
      </c>
      <c r="C229" s="4">
        <f t="shared" si="16"/>
        <v>4</v>
      </c>
      <c r="D229" s="4">
        <f t="shared" si="17"/>
        <v>2023</v>
      </c>
      <c r="E229" s="4" t="str">
        <f t="shared" si="18"/>
        <v>Fri</v>
      </c>
      <c r="F229" s="4" t="str">
        <f t="shared" si="19"/>
        <v>Apr</v>
      </c>
      <c r="G229" s="3">
        <v>45044</v>
      </c>
      <c r="H229" s="4" t="s">
        <v>485</v>
      </c>
      <c r="I229" s="4" t="s">
        <v>3</v>
      </c>
      <c r="J229" s="4" t="str" cm="1">
        <f t="array" ref="J229">_xlfn.IFS(K229&gt;=50, "Senior", K229&gt;=30, "Adult", K229&lt;30,"Young Adult")</f>
        <v>Senior</v>
      </c>
      <c r="K229" s="4">
        <v>54</v>
      </c>
      <c r="L229" s="4" t="s">
        <v>8</v>
      </c>
      <c r="M229" s="4">
        <v>2</v>
      </c>
      <c r="N229" s="22">
        <v>30</v>
      </c>
      <c r="O229" s="24">
        <f>M229 * N229</f>
        <v>60</v>
      </c>
      <c r="P229" s="16">
        <f>O229 * $S$3</f>
        <v>0.89999999999999991</v>
      </c>
      <c r="Q229" s="16">
        <f>O229 * $S$4</f>
        <v>1.2</v>
      </c>
    </row>
    <row r="230" spans="1:17">
      <c r="A230" s="2">
        <v>229</v>
      </c>
      <c r="B230" s="4">
        <f t="shared" si="15"/>
        <v>29</v>
      </c>
      <c r="C230" s="4">
        <f t="shared" si="16"/>
        <v>10</v>
      </c>
      <c r="D230" s="4">
        <f t="shared" si="17"/>
        <v>2023</v>
      </c>
      <c r="E230" s="4" t="str">
        <f t="shared" si="18"/>
        <v>Sun</v>
      </c>
      <c r="F230" s="4" t="str">
        <f t="shared" si="19"/>
        <v>Oct</v>
      </c>
      <c r="G230" s="3">
        <v>45228</v>
      </c>
      <c r="H230" s="4" t="s">
        <v>486</v>
      </c>
      <c r="I230" s="4" t="s">
        <v>4</v>
      </c>
      <c r="J230" s="4" t="str" cm="1">
        <f t="array" ref="J230">_xlfn.IFS(K230&gt;=50, "Senior", K230&gt;=30, "Adult", K230&lt;30,"Young Adult")</f>
        <v>Senior</v>
      </c>
      <c r="K230" s="4">
        <v>54</v>
      </c>
      <c r="L230" s="4" t="s">
        <v>6</v>
      </c>
      <c r="M230" s="4">
        <v>3</v>
      </c>
      <c r="N230" s="22">
        <v>30</v>
      </c>
      <c r="O230" s="24">
        <f>M230 * N230</f>
        <v>90</v>
      </c>
      <c r="P230" s="16">
        <f>O230 * $S$3</f>
        <v>1.3499999999999999</v>
      </c>
      <c r="Q230" s="16">
        <f>O230 * $S$4</f>
        <v>1.8</v>
      </c>
    </row>
    <row r="231" spans="1:17">
      <c r="A231" s="2">
        <v>230</v>
      </c>
      <c r="B231" s="4">
        <f t="shared" si="15"/>
        <v>23</v>
      </c>
      <c r="C231" s="4">
        <f t="shared" si="16"/>
        <v>4</v>
      </c>
      <c r="D231" s="4">
        <f t="shared" si="17"/>
        <v>2023</v>
      </c>
      <c r="E231" s="4" t="str">
        <f t="shared" si="18"/>
        <v>Sun</v>
      </c>
      <c r="F231" s="4" t="str">
        <f t="shared" si="19"/>
        <v>Apr</v>
      </c>
      <c r="G231" s="3">
        <v>45039</v>
      </c>
      <c r="H231" s="4" t="s">
        <v>487</v>
      </c>
      <c r="I231" s="4" t="s">
        <v>4</v>
      </c>
      <c r="J231" s="4" t="str" cm="1">
        <f t="array" ref="J231">_xlfn.IFS(K231&gt;=50, "Senior", K231&gt;=30, "Adult", K231&lt;30,"Young Adult")</f>
        <v>Senior</v>
      </c>
      <c r="K231" s="4">
        <v>54</v>
      </c>
      <c r="L231" s="4" t="s">
        <v>6</v>
      </c>
      <c r="M231" s="4">
        <v>1</v>
      </c>
      <c r="N231" s="22">
        <v>25</v>
      </c>
      <c r="O231" s="24">
        <f>M231 * N231</f>
        <v>25</v>
      </c>
      <c r="P231" s="16">
        <f>O231 * $S$3</f>
        <v>0.375</v>
      </c>
      <c r="Q231" s="16">
        <f>O231 * $S$4</f>
        <v>0.5</v>
      </c>
    </row>
    <row r="232" spans="1:17">
      <c r="A232" s="2">
        <v>231</v>
      </c>
      <c r="B232" s="4">
        <f t="shared" si="15"/>
        <v>4</v>
      </c>
      <c r="C232" s="4">
        <f t="shared" si="16"/>
        <v>1</v>
      </c>
      <c r="D232" s="4">
        <f t="shared" si="17"/>
        <v>2023</v>
      </c>
      <c r="E232" s="4" t="str">
        <f t="shared" si="18"/>
        <v>Wed</v>
      </c>
      <c r="F232" s="4" t="str">
        <f t="shared" si="19"/>
        <v>Jan</v>
      </c>
      <c r="G232" s="3">
        <v>44930</v>
      </c>
      <c r="H232" s="4" t="s">
        <v>488</v>
      </c>
      <c r="I232" s="4" t="s">
        <v>3</v>
      </c>
      <c r="J232" s="4" t="str" cm="1">
        <f t="array" ref="J232">_xlfn.IFS(K232&gt;=50, "Senior", K232&gt;=30, "Adult", K232&lt;30,"Young Adult")</f>
        <v>Senior</v>
      </c>
      <c r="K232" s="4">
        <v>54</v>
      </c>
      <c r="L232" s="4" t="s">
        <v>7</v>
      </c>
      <c r="M232" s="4">
        <v>3</v>
      </c>
      <c r="N232" s="22">
        <v>50</v>
      </c>
      <c r="O232" s="24">
        <f>M232 * N232</f>
        <v>150</v>
      </c>
      <c r="P232" s="16">
        <f>O232 * $S$3</f>
        <v>2.25</v>
      </c>
      <c r="Q232" s="16">
        <f>O232 * $S$4</f>
        <v>3</v>
      </c>
    </row>
    <row r="233" spans="1:17">
      <c r="A233" s="2">
        <v>232</v>
      </c>
      <c r="B233" s="4">
        <f t="shared" si="15"/>
        <v>6</v>
      </c>
      <c r="C233" s="4">
        <f t="shared" si="16"/>
        <v>2</v>
      </c>
      <c r="D233" s="4">
        <f t="shared" si="17"/>
        <v>2023</v>
      </c>
      <c r="E233" s="4" t="str">
        <f t="shared" si="18"/>
        <v>Mon</v>
      </c>
      <c r="F233" s="4" t="str">
        <f t="shared" si="19"/>
        <v>Feb</v>
      </c>
      <c r="G233" s="3">
        <v>44963</v>
      </c>
      <c r="H233" s="4" t="s">
        <v>159</v>
      </c>
      <c r="I233" s="4" t="s">
        <v>3</v>
      </c>
      <c r="J233" s="4" t="str" cm="1">
        <f t="array" ref="J233">_xlfn.IFS(K233&gt;=50, "Senior", K233&gt;=30, "Adult", K233&lt;30,"Young Adult")</f>
        <v>Senior</v>
      </c>
      <c r="K233" s="4">
        <v>54</v>
      </c>
      <c r="L233" s="4" t="s">
        <v>6</v>
      </c>
      <c r="M233" s="4">
        <v>1</v>
      </c>
      <c r="N233" s="22">
        <v>25</v>
      </c>
      <c r="O233" s="24">
        <f>M233 * N233</f>
        <v>25</v>
      </c>
      <c r="P233" s="16">
        <f>O233 * $S$3</f>
        <v>0.375</v>
      </c>
      <c r="Q233" s="16">
        <f>O233 * $S$4</f>
        <v>0.5</v>
      </c>
    </row>
    <row r="234" spans="1:17">
      <c r="A234" s="2">
        <v>233</v>
      </c>
      <c r="B234" s="4">
        <f t="shared" si="15"/>
        <v>29</v>
      </c>
      <c r="C234" s="4">
        <f t="shared" si="16"/>
        <v>12</v>
      </c>
      <c r="D234" s="4">
        <f t="shared" si="17"/>
        <v>2023</v>
      </c>
      <c r="E234" s="4" t="str">
        <f t="shared" si="18"/>
        <v>Fri</v>
      </c>
      <c r="F234" s="4" t="str">
        <f t="shared" si="19"/>
        <v>Dec</v>
      </c>
      <c r="G234" s="3">
        <v>45289</v>
      </c>
      <c r="H234" s="4" t="s">
        <v>489</v>
      </c>
      <c r="I234" s="4" t="s">
        <v>3</v>
      </c>
      <c r="J234" s="4" t="str" cm="1">
        <f t="array" ref="J234">_xlfn.IFS(K234&gt;=50, "Senior", K234&gt;=30, "Adult", K234&lt;30,"Young Adult")</f>
        <v>Senior</v>
      </c>
      <c r="K234" s="4">
        <v>54</v>
      </c>
      <c r="L234" s="4" t="s">
        <v>6</v>
      </c>
      <c r="M234" s="4">
        <v>2</v>
      </c>
      <c r="N234" s="22">
        <v>300</v>
      </c>
      <c r="O234" s="24">
        <f>M234 * N234</f>
        <v>600</v>
      </c>
      <c r="P234" s="16">
        <f>O234 * $S$3</f>
        <v>9</v>
      </c>
      <c r="Q234" s="16">
        <f>O234 * $S$4</f>
        <v>12</v>
      </c>
    </row>
    <row r="235" spans="1:17">
      <c r="A235" s="2">
        <v>234</v>
      </c>
      <c r="B235" s="4">
        <f t="shared" si="15"/>
        <v>20</v>
      </c>
      <c r="C235" s="4">
        <f t="shared" si="16"/>
        <v>11</v>
      </c>
      <c r="D235" s="4">
        <f t="shared" si="17"/>
        <v>2023</v>
      </c>
      <c r="E235" s="4" t="str">
        <f t="shared" si="18"/>
        <v>Mon</v>
      </c>
      <c r="F235" s="4" t="str">
        <f t="shared" si="19"/>
        <v>Nov</v>
      </c>
      <c r="G235" s="3">
        <v>45250</v>
      </c>
      <c r="H235" s="4" t="s">
        <v>490</v>
      </c>
      <c r="I235" s="4" t="s">
        <v>3</v>
      </c>
      <c r="J235" s="4" t="str" cm="1">
        <f t="array" ref="J235">_xlfn.IFS(K235&gt;=50, "Senior", K235&gt;=30, "Adult", K235&lt;30,"Young Adult")</f>
        <v>Senior</v>
      </c>
      <c r="K235" s="4">
        <v>54</v>
      </c>
      <c r="L235" s="4" t="s">
        <v>8</v>
      </c>
      <c r="M235" s="4">
        <v>2</v>
      </c>
      <c r="N235" s="22">
        <v>25</v>
      </c>
      <c r="O235" s="24">
        <f>M235 * N235</f>
        <v>50</v>
      </c>
      <c r="P235" s="16">
        <f>O235 * $S$3</f>
        <v>0.75</v>
      </c>
      <c r="Q235" s="16">
        <f>O235 * $S$4</f>
        <v>1</v>
      </c>
    </row>
    <row r="236" spans="1:17">
      <c r="A236" s="2">
        <v>235</v>
      </c>
      <c r="B236" s="4">
        <f t="shared" si="15"/>
        <v>31</v>
      </c>
      <c r="C236" s="4">
        <f t="shared" si="16"/>
        <v>1</v>
      </c>
      <c r="D236" s="4">
        <f t="shared" si="17"/>
        <v>2023</v>
      </c>
      <c r="E236" s="4" t="str">
        <f t="shared" si="18"/>
        <v>Tue</v>
      </c>
      <c r="F236" s="4" t="str">
        <f t="shared" si="19"/>
        <v>Jan</v>
      </c>
      <c r="G236" s="3">
        <v>44957</v>
      </c>
      <c r="H236" s="4" t="s">
        <v>491</v>
      </c>
      <c r="I236" s="4" t="s">
        <v>3</v>
      </c>
      <c r="J236" s="4" t="str" cm="1">
        <f t="array" ref="J236">_xlfn.IFS(K236&gt;=50, "Senior", K236&gt;=30, "Adult", K236&lt;30,"Young Adult")</f>
        <v>Senior</v>
      </c>
      <c r="K236" s="4">
        <v>54</v>
      </c>
      <c r="L236" s="4" t="s">
        <v>8</v>
      </c>
      <c r="M236" s="4">
        <v>2</v>
      </c>
      <c r="N236" s="22">
        <v>500</v>
      </c>
      <c r="O236" s="24">
        <f>M236 * N236</f>
        <v>1000</v>
      </c>
      <c r="P236" s="16">
        <f>O236 * $S$3</f>
        <v>15</v>
      </c>
      <c r="Q236" s="16">
        <f>O236 * $S$4</f>
        <v>20</v>
      </c>
    </row>
    <row r="237" spans="1:17">
      <c r="A237" s="2">
        <v>236</v>
      </c>
      <c r="B237" s="4">
        <f t="shared" si="15"/>
        <v>28</v>
      </c>
      <c r="C237" s="4">
        <f t="shared" si="16"/>
        <v>4</v>
      </c>
      <c r="D237" s="4">
        <f t="shared" si="17"/>
        <v>2023</v>
      </c>
      <c r="E237" s="4" t="str">
        <f t="shared" si="18"/>
        <v>Fri</v>
      </c>
      <c r="F237" s="4" t="str">
        <f t="shared" si="19"/>
        <v>Apr</v>
      </c>
      <c r="G237" s="3">
        <v>45044</v>
      </c>
      <c r="H237" s="4" t="s">
        <v>492</v>
      </c>
      <c r="I237" s="4" t="s">
        <v>3</v>
      </c>
      <c r="J237" s="4" t="str" cm="1">
        <f t="array" ref="J237">_xlfn.IFS(K237&gt;=50, "Senior", K237&gt;=30, "Adult", K237&lt;30,"Young Adult")</f>
        <v>Senior</v>
      </c>
      <c r="K237" s="4">
        <v>54</v>
      </c>
      <c r="L237" s="4" t="s">
        <v>7</v>
      </c>
      <c r="M237" s="4">
        <v>1</v>
      </c>
      <c r="N237" s="22">
        <v>25</v>
      </c>
      <c r="O237" s="24">
        <f>M237 * N237</f>
        <v>25</v>
      </c>
      <c r="P237" s="16">
        <f>O237 * $S$3</f>
        <v>0.375</v>
      </c>
      <c r="Q237" s="16">
        <f>O237 * $S$4</f>
        <v>0.5</v>
      </c>
    </row>
    <row r="238" spans="1:17">
      <c r="A238" s="2">
        <v>237</v>
      </c>
      <c r="B238" s="4">
        <f t="shared" si="15"/>
        <v>4</v>
      </c>
      <c r="C238" s="4">
        <f t="shared" si="16"/>
        <v>2</v>
      </c>
      <c r="D238" s="4">
        <f t="shared" si="17"/>
        <v>2023</v>
      </c>
      <c r="E238" s="4" t="str">
        <f t="shared" si="18"/>
        <v>Sat</v>
      </c>
      <c r="F238" s="4" t="str">
        <f t="shared" si="19"/>
        <v>Feb</v>
      </c>
      <c r="G238" s="3">
        <v>44961</v>
      </c>
      <c r="H238" s="4" t="s">
        <v>493</v>
      </c>
      <c r="I238" s="4" t="s">
        <v>3</v>
      </c>
      <c r="J238" s="4" t="str" cm="1">
        <f t="array" ref="J238">_xlfn.IFS(K238&gt;=50, "Senior", K238&gt;=30, "Adult", K238&lt;30,"Young Adult")</f>
        <v>Senior</v>
      </c>
      <c r="K238" s="4">
        <v>54</v>
      </c>
      <c r="L238" s="4" t="s">
        <v>6</v>
      </c>
      <c r="M238" s="4">
        <v>2</v>
      </c>
      <c r="N238" s="22">
        <v>500</v>
      </c>
      <c r="O238" s="24">
        <f>M238 * N238</f>
        <v>1000</v>
      </c>
      <c r="P238" s="16">
        <f>O238 * $S$3</f>
        <v>15</v>
      </c>
      <c r="Q238" s="16">
        <f>O238 * $S$4</f>
        <v>20</v>
      </c>
    </row>
    <row r="239" spans="1:17">
      <c r="A239" s="2">
        <v>238</v>
      </c>
      <c r="B239" s="4">
        <f t="shared" si="15"/>
        <v>17</v>
      </c>
      <c r="C239" s="4">
        <f t="shared" si="16"/>
        <v>1</v>
      </c>
      <c r="D239" s="4">
        <f t="shared" si="17"/>
        <v>2023</v>
      </c>
      <c r="E239" s="4" t="str">
        <f t="shared" si="18"/>
        <v>Tue</v>
      </c>
      <c r="F239" s="4" t="str">
        <f t="shared" si="19"/>
        <v>Jan</v>
      </c>
      <c r="G239" s="3">
        <v>44943</v>
      </c>
      <c r="H239" s="4" t="s">
        <v>158</v>
      </c>
      <c r="I239" s="4" t="s">
        <v>3</v>
      </c>
      <c r="J239" s="4" t="str" cm="1">
        <f t="array" ref="J239">_xlfn.IFS(K239&gt;=50, "Senior", K239&gt;=30, "Adult", K239&lt;30,"Young Adult")</f>
        <v>Senior</v>
      </c>
      <c r="K239" s="4">
        <v>54</v>
      </c>
      <c r="L239" s="4" t="s">
        <v>6</v>
      </c>
      <c r="M239" s="4">
        <v>1</v>
      </c>
      <c r="N239" s="22">
        <v>500</v>
      </c>
      <c r="O239" s="24">
        <f>M239 * N239</f>
        <v>500</v>
      </c>
      <c r="P239" s="16">
        <f>O239 * $S$3</f>
        <v>7.5</v>
      </c>
      <c r="Q239" s="16">
        <f>O239 * $S$4</f>
        <v>10</v>
      </c>
    </row>
    <row r="240" spans="1:17">
      <c r="A240" s="2">
        <v>239</v>
      </c>
      <c r="B240" s="4">
        <f t="shared" si="15"/>
        <v>19</v>
      </c>
      <c r="C240" s="4">
        <f t="shared" si="16"/>
        <v>6</v>
      </c>
      <c r="D240" s="4">
        <f t="shared" si="17"/>
        <v>2023</v>
      </c>
      <c r="E240" s="4" t="str">
        <f t="shared" si="18"/>
        <v>Mon</v>
      </c>
      <c r="F240" s="4" t="str">
        <f t="shared" si="19"/>
        <v>Jun</v>
      </c>
      <c r="G240" s="3">
        <v>45096</v>
      </c>
      <c r="H240" s="4" t="s">
        <v>494</v>
      </c>
      <c r="I240" s="4" t="s">
        <v>4</v>
      </c>
      <c r="J240" s="4" t="str" cm="1">
        <f t="array" ref="J240">_xlfn.IFS(K240&gt;=50, "Senior", K240&gt;=30, "Adult", K240&lt;30,"Young Adult")</f>
        <v>Senior</v>
      </c>
      <c r="K240" s="4">
        <v>54</v>
      </c>
      <c r="L240" s="4" t="s">
        <v>8</v>
      </c>
      <c r="M240" s="4">
        <v>3</v>
      </c>
      <c r="N240" s="22">
        <v>500</v>
      </c>
      <c r="O240" s="24">
        <f>M240 * N240</f>
        <v>1500</v>
      </c>
      <c r="P240" s="16">
        <f>O240 * $S$3</f>
        <v>22.5</v>
      </c>
      <c r="Q240" s="16">
        <f>O240 * $S$4</f>
        <v>30</v>
      </c>
    </row>
    <row r="241" spans="1:17">
      <c r="A241" s="2">
        <v>240</v>
      </c>
      <c r="B241" s="4">
        <f t="shared" si="15"/>
        <v>6</v>
      </c>
      <c r="C241" s="4">
        <f t="shared" si="16"/>
        <v>2</v>
      </c>
      <c r="D241" s="4">
        <f t="shared" si="17"/>
        <v>2023</v>
      </c>
      <c r="E241" s="4" t="str">
        <f t="shared" si="18"/>
        <v>Mon</v>
      </c>
      <c r="F241" s="4" t="str">
        <f t="shared" si="19"/>
        <v>Feb</v>
      </c>
      <c r="G241" s="3">
        <v>44963</v>
      </c>
      <c r="H241" s="4" t="s">
        <v>495</v>
      </c>
      <c r="I241" s="4" t="s">
        <v>3</v>
      </c>
      <c r="J241" s="4" t="str" cm="1">
        <f t="array" ref="J241">_xlfn.IFS(K241&gt;=50, "Senior", K241&gt;=30, "Adult", K241&lt;30,"Young Adult")</f>
        <v>Senior</v>
      </c>
      <c r="K241" s="4">
        <v>54</v>
      </c>
      <c r="L241" s="4" t="s">
        <v>6</v>
      </c>
      <c r="M241" s="4">
        <v>1</v>
      </c>
      <c r="N241" s="22">
        <v>300</v>
      </c>
      <c r="O241" s="24">
        <f>M241 * N241</f>
        <v>300</v>
      </c>
      <c r="P241" s="16">
        <f>O241 * $S$3</f>
        <v>4.5</v>
      </c>
      <c r="Q241" s="16">
        <f>O241 * $S$4</f>
        <v>6</v>
      </c>
    </row>
    <row r="242" spans="1:17">
      <c r="A242" s="2">
        <v>241</v>
      </c>
      <c r="B242" s="4">
        <f t="shared" si="15"/>
        <v>21</v>
      </c>
      <c r="C242" s="4">
        <f t="shared" si="16"/>
        <v>9</v>
      </c>
      <c r="D242" s="4">
        <f t="shared" si="17"/>
        <v>2023</v>
      </c>
      <c r="E242" s="4" t="str">
        <f t="shared" si="18"/>
        <v>Thu</v>
      </c>
      <c r="F242" s="4" t="str">
        <f t="shared" si="19"/>
        <v>Sep</v>
      </c>
      <c r="G242" s="3">
        <v>45190</v>
      </c>
      <c r="H242" s="4" t="s">
        <v>496</v>
      </c>
      <c r="I242" s="4" t="s">
        <v>3</v>
      </c>
      <c r="J242" s="4" t="str" cm="1">
        <f t="array" ref="J242">_xlfn.IFS(K242&gt;=50, "Senior", K242&gt;=30, "Adult", K242&lt;30,"Young Adult")</f>
        <v>Senior</v>
      </c>
      <c r="K242" s="4">
        <v>54</v>
      </c>
      <c r="L242" s="4" t="s">
        <v>8</v>
      </c>
      <c r="M242" s="4">
        <v>3</v>
      </c>
      <c r="N242" s="22">
        <v>25</v>
      </c>
      <c r="O242" s="24">
        <f>M242 * N242</f>
        <v>75</v>
      </c>
      <c r="P242" s="16">
        <f>O242 * $S$3</f>
        <v>1.125</v>
      </c>
      <c r="Q242" s="16">
        <f>O242 * $S$4</f>
        <v>1.5</v>
      </c>
    </row>
    <row r="243" spans="1:17">
      <c r="A243" s="2">
        <v>242</v>
      </c>
      <c r="B243" s="4">
        <f t="shared" si="15"/>
        <v>2</v>
      </c>
      <c r="C243" s="4">
        <f t="shared" si="16"/>
        <v>5</v>
      </c>
      <c r="D243" s="4">
        <f t="shared" si="17"/>
        <v>2023</v>
      </c>
      <c r="E243" s="4" t="str">
        <f t="shared" si="18"/>
        <v>Tue</v>
      </c>
      <c r="F243" s="4" t="str">
        <f t="shared" si="19"/>
        <v>May</v>
      </c>
      <c r="G243" s="3">
        <v>45048</v>
      </c>
      <c r="H243" s="4" t="s">
        <v>497</v>
      </c>
      <c r="I243" s="4" t="s">
        <v>4</v>
      </c>
      <c r="J243" s="4" t="str" cm="1">
        <f t="array" ref="J243">_xlfn.IFS(K243&gt;=50, "Senior", K243&gt;=30, "Adult", K243&lt;30,"Young Adult")</f>
        <v>Senior</v>
      </c>
      <c r="K243" s="4">
        <v>54</v>
      </c>
      <c r="L243" s="4" t="s">
        <v>7</v>
      </c>
      <c r="M243" s="4">
        <v>1</v>
      </c>
      <c r="N243" s="22">
        <v>25</v>
      </c>
      <c r="O243" s="24">
        <f>M243 * N243</f>
        <v>25</v>
      </c>
      <c r="P243" s="16">
        <f>O243 * $S$3</f>
        <v>0.375</v>
      </c>
      <c r="Q243" s="16">
        <f>O243 * $S$4</f>
        <v>0.5</v>
      </c>
    </row>
    <row r="244" spans="1:17">
      <c r="A244" s="2">
        <v>243</v>
      </c>
      <c r="B244" s="4">
        <f t="shared" si="15"/>
        <v>23</v>
      </c>
      <c r="C244" s="4">
        <f t="shared" si="16"/>
        <v>5</v>
      </c>
      <c r="D244" s="4">
        <f t="shared" si="17"/>
        <v>2023</v>
      </c>
      <c r="E244" s="4" t="str">
        <f t="shared" si="18"/>
        <v>Tue</v>
      </c>
      <c r="F244" s="4" t="str">
        <f t="shared" si="19"/>
        <v>May</v>
      </c>
      <c r="G244" s="3">
        <v>45069</v>
      </c>
      <c r="H244" s="4" t="s">
        <v>498</v>
      </c>
      <c r="I244" s="4" t="s">
        <v>3</v>
      </c>
      <c r="J244" s="4" t="str" cm="1">
        <f t="array" ref="J244">_xlfn.IFS(K244&gt;=50, "Senior", K244&gt;=30, "Adult", K244&lt;30,"Young Adult")</f>
        <v>Senior</v>
      </c>
      <c r="K244" s="4">
        <v>54</v>
      </c>
      <c r="L244" s="4" t="s">
        <v>8</v>
      </c>
      <c r="M244" s="4">
        <v>3</v>
      </c>
      <c r="N244" s="22">
        <v>300</v>
      </c>
      <c r="O244" s="24">
        <f>M244 * N244</f>
        <v>900</v>
      </c>
      <c r="P244" s="16">
        <f>O244 * $S$3</f>
        <v>13.5</v>
      </c>
      <c r="Q244" s="16">
        <f>O244 * $S$4</f>
        <v>18</v>
      </c>
    </row>
    <row r="245" spans="1:17">
      <c r="A245" s="2">
        <v>244</v>
      </c>
      <c r="B245" s="4">
        <f t="shared" si="15"/>
        <v>9</v>
      </c>
      <c r="C245" s="4">
        <f t="shared" si="16"/>
        <v>12</v>
      </c>
      <c r="D245" s="4">
        <f t="shared" si="17"/>
        <v>2023</v>
      </c>
      <c r="E245" s="4" t="str">
        <f t="shared" si="18"/>
        <v>Sat</v>
      </c>
      <c r="F245" s="4" t="str">
        <f t="shared" si="19"/>
        <v>Dec</v>
      </c>
      <c r="G245" s="3">
        <v>45269</v>
      </c>
      <c r="H245" s="4" t="s">
        <v>499</v>
      </c>
      <c r="I245" s="4" t="s">
        <v>4</v>
      </c>
      <c r="J245" s="4" t="str" cm="1">
        <f t="array" ref="J245">_xlfn.IFS(K245&gt;=50, "Senior", K245&gt;=30, "Adult", K245&lt;30,"Young Adult")</f>
        <v>Senior</v>
      </c>
      <c r="K245" s="4">
        <v>54</v>
      </c>
      <c r="L245" s="4" t="s">
        <v>6</v>
      </c>
      <c r="M245" s="4">
        <v>2</v>
      </c>
      <c r="N245" s="22">
        <v>50</v>
      </c>
      <c r="O245" s="24">
        <f>M245 * N245</f>
        <v>100</v>
      </c>
      <c r="P245" s="16">
        <f>O245 * $S$3</f>
        <v>1.5</v>
      </c>
      <c r="Q245" s="16">
        <f>O245 * $S$4</f>
        <v>2</v>
      </c>
    </row>
    <row r="246" spans="1:17">
      <c r="A246" s="2">
        <v>245</v>
      </c>
      <c r="B246" s="4">
        <f t="shared" si="15"/>
        <v>6</v>
      </c>
      <c r="C246" s="4">
        <f t="shared" si="16"/>
        <v>9</v>
      </c>
      <c r="D246" s="4">
        <f t="shared" si="17"/>
        <v>2023</v>
      </c>
      <c r="E246" s="4" t="str">
        <f t="shared" si="18"/>
        <v>Wed</v>
      </c>
      <c r="F246" s="4" t="str">
        <f t="shared" si="19"/>
        <v>Sep</v>
      </c>
      <c r="G246" s="3">
        <v>45175</v>
      </c>
      <c r="H246" s="4" t="s">
        <v>305</v>
      </c>
      <c r="I246" s="4" t="s">
        <v>4</v>
      </c>
      <c r="J246" s="4" t="str" cm="1">
        <f t="array" ref="J246">_xlfn.IFS(K246&gt;=50, "Senior", K246&gt;=30, "Adult", K246&lt;30,"Young Adult")</f>
        <v>Senior</v>
      </c>
      <c r="K246" s="4">
        <v>53</v>
      </c>
      <c r="L246" s="4" t="s">
        <v>7</v>
      </c>
      <c r="M246" s="4">
        <v>3</v>
      </c>
      <c r="N246" s="22">
        <v>30</v>
      </c>
      <c r="O246" s="24">
        <f>M246 * N246</f>
        <v>90</v>
      </c>
      <c r="P246" s="16">
        <f>O246 * $S$3</f>
        <v>1.3499999999999999</v>
      </c>
      <c r="Q246" s="16">
        <f>O246 * $S$4</f>
        <v>1.8</v>
      </c>
    </row>
    <row r="247" spans="1:17">
      <c r="A247" s="2">
        <v>246</v>
      </c>
      <c r="B247" s="4">
        <f t="shared" si="15"/>
        <v>20</v>
      </c>
      <c r="C247" s="4">
        <f t="shared" si="16"/>
        <v>4</v>
      </c>
      <c r="D247" s="4">
        <f t="shared" si="17"/>
        <v>2023</v>
      </c>
      <c r="E247" s="4" t="str">
        <f t="shared" si="18"/>
        <v>Thu</v>
      </c>
      <c r="F247" s="4" t="str">
        <f t="shared" si="19"/>
        <v>Apr</v>
      </c>
      <c r="G247" s="3">
        <v>45036</v>
      </c>
      <c r="H247" s="4" t="s">
        <v>500</v>
      </c>
      <c r="I247" s="4" t="s">
        <v>3</v>
      </c>
      <c r="J247" s="4" t="str" cm="1">
        <f t="array" ref="J247">_xlfn.IFS(K247&gt;=50, "Senior", K247&gt;=30, "Adult", K247&lt;30,"Young Adult")</f>
        <v>Senior</v>
      </c>
      <c r="K247" s="4">
        <v>53</v>
      </c>
      <c r="L247" s="4" t="s">
        <v>8</v>
      </c>
      <c r="M247" s="4">
        <v>2</v>
      </c>
      <c r="N247" s="22">
        <v>25</v>
      </c>
      <c r="O247" s="24">
        <f>M247 * N247</f>
        <v>50</v>
      </c>
      <c r="P247" s="16">
        <f>O247 * $S$3</f>
        <v>0.75</v>
      </c>
      <c r="Q247" s="16">
        <f>O247 * $S$4</f>
        <v>1</v>
      </c>
    </row>
    <row r="248" spans="1:17">
      <c r="A248" s="2">
        <v>247</v>
      </c>
      <c r="B248" s="4">
        <f t="shared" si="15"/>
        <v>4</v>
      </c>
      <c r="C248" s="4">
        <f t="shared" si="16"/>
        <v>10</v>
      </c>
      <c r="D248" s="4">
        <f t="shared" si="17"/>
        <v>2023</v>
      </c>
      <c r="E248" s="4" t="str">
        <f t="shared" si="18"/>
        <v>Wed</v>
      </c>
      <c r="F248" s="4" t="str">
        <f t="shared" si="19"/>
        <v>Oct</v>
      </c>
      <c r="G248" s="3">
        <v>45203</v>
      </c>
      <c r="H248" s="4" t="s">
        <v>501</v>
      </c>
      <c r="I248" s="4" t="s">
        <v>4</v>
      </c>
      <c r="J248" s="4" t="str" cm="1">
        <f t="array" ref="J248">_xlfn.IFS(K248&gt;=50, "Senior", K248&gt;=30, "Adult", K248&lt;30,"Young Adult")</f>
        <v>Senior</v>
      </c>
      <c r="K248" s="4">
        <v>53</v>
      </c>
      <c r="L248" s="4" t="s">
        <v>8</v>
      </c>
      <c r="M248" s="4">
        <v>2</v>
      </c>
      <c r="N248" s="22">
        <v>30</v>
      </c>
      <c r="O248" s="24">
        <f>M248 * N248</f>
        <v>60</v>
      </c>
      <c r="P248" s="16">
        <f>O248 * $S$3</f>
        <v>0.89999999999999991</v>
      </c>
      <c r="Q248" s="16">
        <f>O248 * $S$4</f>
        <v>1.2</v>
      </c>
    </row>
    <row r="249" spans="1:17">
      <c r="A249" s="2">
        <v>248</v>
      </c>
      <c r="B249" s="4">
        <f t="shared" si="15"/>
        <v>9</v>
      </c>
      <c r="C249" s="4">
        <f t="shared" si="16"/>
        <v>3</v>
      </c>
      <c r="D249" s="4">
        <f t="shared" si="17"/>
        <v>2023</v>
      </c>
      <c r="E249" s="4" t="str">
        <f t="shared" si="18"/>
        <v>Thu</v>
      </c>
      <c r="F249" s="4" t="str">
        <f t="shared" si="19"/>
        <v>Mar</v>
      </c>
      <c r="G249" s="3">
        <v>44994</v>
      </c>
      <c r="H249" s="4" t="s">
        <v>502</v>
      </c>
      <c r="I249" s="4" t="s">
        <v>4</v>
      </c>
      <c r="J249" s="4" t="str" cm="1">
        <f t="array" ref="J249">_xlfn.IFS(K249&gt;=50, "Senior", K249&gt;=30, "Adult", K249&lt;30,"Young Adult")</f>
        <v>Senior</v>
      </c>
      <c r="K249" s="4">
        <v>53</v>
      </c>
      <c r="L249" s="4" t="s">
        <v>7</v>
      </c>
      <c r="M249" s="4">
        <v>3</v>
      </c>
      <c r="N249" s="22">
        <v>300</v>
      </c>
      <c r="O249" s="24">
        <f>M249 * N249</f>
        <v>900</v>
      </c>
      <c r="P249" s="16">
        <f>O249 * $S$3</f>
        <v>13.5</v>
      </c>
      <c r="Q249" s="16">
        <f>O249 * $S$4</f>
        <v>18</v>
      </c>
    </row>
    <row r="250" spans="1:17">
      <c r="A250" s="2">
        <v>249</v>
      </c>
      <c r="B250" s="4">
        <f t="shared" si="15"/>
        <v>20</v>
      </c>
      <c r="C250" s="4">
        <f t="shared" si="16"/>
        <v>10</v>
      </c>
      <c r="D250" s="4">
        <f t="shared" si="17"/>
        <v>2023</v>
      </c>
      <c r="E250" s="4" t="str">
        <f t="shared" si="18"/>
        <v>Fri</v>
      </c>
      <c r="F250" s="4" t="str">
        <f t="shared" si="19"/>
        <v>Oct</v>
      </c>
      <c r="G250" s="3">
        <v>45219</v>
      </c>
      <c r="H250" s="4" t="s">
        <v>503</v>
      </c>
      <c r="I250" s="4" t="s">
        <v>4</v>
      </c>
      <c r="J250" s="4" t="str" cm="1">
        <f t="array" ref="J250">_xlfn.IFS(K250&gt;=50, "Senior", K250&gt;=30, "Adult", K250&lt;30,"Young Adult")</f>
        <v>Senior</v>
      </c>
      <c r="K250" s="4">
        <v>53</v>
      </c>
      <c r="L250" s="4" t="s">
        <v>7</v>
      </c>
      <c r="M250" s="4">
        <v>1</v>
      </c>
      <c r="N250" s="22">
        <v>50</v>
      </c>
      <c r="O250" s="24">
        <f>M250 * N250</f>
        <v>50</v>
      </c>
      <c r="P250" s="16">
        <f>O250 * $S$3</f>
        <v>0.75</v>
      </c>
      <c r="Q250" s="16">
        <f>O250 * $S$4</f>
        <v>1</v>
      </c>
    </row>
    <row r="251" spans="1:17">
      <c r="A251" s="2">
        <v>250</v>
      </c>
      <c r="B251" s="4">
        <f t="shared" si="15"/>
        <v>23</v>
      </c>
      <c r="C251" s="4">
        <f t="shared" si="16"/>
        <v>10</v>
      </c>
      <c r="D251" s="4">
        <f t="shared" si="17"/>
        <v>2023</v>
      </c>
      <c r="E251" s="4" t="str">
        <f t="shared" si="18"/>
        <v>Mon</v>
      </c>
      <c r="F251" s="4" t="str">
        <f t="shared" si="19"/>
        <v>Oct</v>
      </c>
      <c r="G251" s="3">
        <v>45222</v>
      </c>
      <c r="H251" s="4" t="s">
        <v>504</v>
      </c>
      <c r="I251" s="4" t="s">
        <v>4</v>
      </c>
      <c r="J251" s="4" t="str" cm="1">
        <f t="array" ref="J251">_xlfn.IFS(K251&gt;=50, "Senior", K251&gt;=30, "Adult", K251&lt;30,"Young Adult")</f>
        <v>Senior</v>
      </c>
      <c r="K251" s="4">
        <v>53</v>
      </c>
      <c r="L251" s="4" t="s">
        <v>8</v>
      </c>
      <c r="M251" s="4">
        <v>1</v>
      </c>
      <c r="N251" s="22">
        <v>50</v>
      </c>
      <c r="O251" s="24">
        <f>M251 * N251</f>
        <v>50</v>
      </c>
      <c r="P251" s="16">
        <f>O251 * $S$3</f>
        <v>0.75</v>
      </c>
      <c r="Q251" s="16">
        <f>O251 * $S$4</f>
        <v>1</v>
      </c>
    </row>
    <row r="252" spans="1:17">
      <c r="A252" s="2">
        <v>251</v>
      </c>
      <c r="B252" s="4">
        <f t="shared" si="15"/>
        <v>31</v>
      </c>
      <c r="C252" s="4">
        <f t="shared" si="16"/>
        <v>8</v>
      </c>
      <c r="D252" s="4">
        <f t="shared" si="17"/>
        <v>2023</v>
      </c>
      <c r="E252" s="4" t="str">
        <f t="shared" si="18"/>
        <v>Thu</v>
      </c>
      <c r="F252" s="4" t="str">
        <f t="shared" si="19"/>
        <v>Aug</v>
      </c>
      <c r="G252" s="3">
        <v>45169</v>
      </c>
      <c r="H252" s="4" t="s">
        <v>505</v>
      </c>
      <c r="I252" s="4" t="s">
        <v>3</v>
      </c>
      <c r="J252" s="4" t="str" cm="1">
        <f t="array" ref="J252">_xlfn.IFS(K252&gt;=50, "Senior", K252&gt;=30, "Adult", K252&lt;30,"Young Adult")</f>
        <v>Senior</v>
      </c>
      <c r="K252" s="4">
        <v>53</v>
      </c>
      <c r="L252" s="4" t="s">
        <v>6</v>
      </c>
      <c r="M252" s="4">
        <v>4</v>
      </c>
      <c r="N252" s="22">
        <v>50</v>
      </c>
      <c r="O252" s="24">
        <f>M252 * N252</f>
        <v>200</v>
      </c>
      <c r="P252" s="16">
        <f>O252 * $S$3</f>
        <v>3</v>
      </c>
      <c r="Q252" s="16">
        <f>O252 * $S$4</f>
        <v>4</v>
      </c>
    </row>
    <row r="253" spans="1:17">
      <c r="A253" s="2">
        <v>252</v>
      </c>
      <c r="B253" s="4">
        <f t="shared" si="15"/>
        <v>5</v>
      </c>
      <c r="C253" s="4">
        <f t="shared" si="16"/>
        <v>5</v>
      </c>
      <c r="D253" s="4">
        <f t="shared" si="17"/>
        <v>2023</v>
      </c>
      <c r="E253" s="4" t="str">
        <f t="shared" si="18"/>
        <v>Fri</v>
      </c>
      <c r="F253" s="4" t="str">
        <f t="shared" si="19"/>
        <v>May</v>
      </c>
      <c r="G253" s="3">
        <v>45051</v>
      </c>
      <c r="H253" s="4" t="s">
        <v>506</v>
      </c>
      <c r="I253" s="4" t="s">
        <v>4</v>
      </c>
      <c r="J253" s="4" t="str" cm="1">
        <f t="array" ref="J253">_xlfn.IFS(K253&gt;=50, "Senior", K253&gt;=30, "Adult", K253&lt;30,"Young Adult")</f>
        <v>Senior</v>
      </c>
      <c r="K253" s="4">
        <v>53</v>
      </c>
      <c r="L253" s="4" t="s">
        <v>8</v>
      </c>
      <c r="M253" s="4">
        <v>1</v>
      </c>
      <c r="N253" s="22">
        <v>300</v>
      </c>
      <c r="O253" s="24">
        <f>M253 * N253</f>
        <v>300</v>
      </c>
      <c r="P253" s="16">
        <f>O253 * $S$3</f>
        <v>4.5</v>
      </c>
      <c r="Q253" s="16">
        <f>O253 * $S$4</f>
        <v>6</v>
      </c>
    </row>
    <row r="254" spans="1:17">
      <c r="A254" s="2">
        <v>253</v>
      </c>
      <c r="B254" s="4">
        <f t="shared" si="15"/>
        <v>31</v>
      </c>
      <c r="C254" s="4">
        <f t="shared" si="16"/>
        <v>8</v>
      </c>
      <c r="D254" s="4">
        <f t="shared" si="17"/>
        <v>2023</v>
      </c>
      <c r="E254" s="4" t="str">
        <f t="shared" si="18"/>
        <v>Thu</v>
      </c>
      <c r="F254" s="4" t="str">
        <f t="shared" si="19"/>
        <v>Aug</v>
      </c>
      <c r="G254" s="3">
        <v>45169</v>
      </c>
      <c r="H254" s="4" t="s">
        <v>507</v>
      </c>
      <c r="I254" s="4" t="s">
        <v>3</v>
      </c>
      <c r="J254" s="4" t="str" cm="1">
        <f t="array" ref="J254">_xlfn.IFS(K254&gt;=50, "Senior", K254&gt;=30, "Adult", K254&lt;30,"Young Adult")</f>
        <v>Senior</v>
      </c>
      <c r="K254" s="4">
        <v>53</v>
      </c>
      <c r="L254" s="4" t="s">
        <v>7</v>
      </c>
      <c r="M254" s="4">
        <v>4</v>
      </c>
      <c r="N254" s="22">
        <v>500</v>
      </c>
      <c r="O254" s="24">
        <f>M254 * N254</f>
        <v>2000</v>
      </c>
      <c r="P254" s="16">
        <f>O254 * $S$3</f>
        <v>30</v>
      </c>
      <c r="Q254" s="16">
        <f>O254 * $S$4</f>
        <v>40</v>
      </c>
    </row>
    <row r="255" spans="1:17">
      <c r="A255" s="2">
        <v>254</v>
      </c>
      <c r="B255" s="4">
        <f t="shared" si="15"/>
        <v>28</v>
      </c>
      <c r="C255" s="4">
        <f t="shared" si="16"/>
        <v>7</v>
      </c>
      <c r="D255" s="4">
        <f t="shared" si="17"/>
        <v>2023</v>
      </c>
      <c r="E255" s="4" t="str">
        <f t="shared" si="18"/>
        <v>Fri</v>
      </c>
      <c r="F255" s="4" t="str">
        <f t="shared" si="19"/>
        <v>Jul</v>
      </c>
      <c r="G255" s="3">
        <v>45135</v>
      </c>
      <c r="H255" s="4" t="s">
        <v>508</v>
      </c>
      <c r="I255" s="4" t="s">
        <v>4</v>
      </c>
      <c r="J255" s="4" t="str" cm="1">
        <f t="array" ref="J255">_xlfn.IFS(K255&gt;=50, "Senior", K255&gt;=30, "Adult", K255&lt;30,"Young Adult")</f>
        <v>Senior</v>
      </c>
      <c r="K255" s="4">
        <v>53</v>
      </c>
      <c r="L255" s="4" t="s">
        <v>8</v>
      </c>
      <c r="M255" s="4">
        <v>1</v>
      </c>
      <c r="N255" s="22">
        <v>500</v>
      </c>
      <c r="O255" s="24">
        <f>M255 * N255</f>
        <v>500</v>
      </c>
      <c r="P255" s="16">
        <f>O255 * $S$3</f>
        <v>7.5</v>
      </c>
      <c r="Q255" s="16">
        <f>O255 * $S$4</f>
        <v>10</v>
      </c>
    </row>
    <row r="256" spans="1:17">
      <c r="A256" s="2">
        <v>255</v>
      </c>
      <c r="B256" s="4">
        <f t="shared" si="15"/>
        <v>8</v>
      </c>
      <c r="C256" s="4">
        <f t="shared" si="16"/>
        <v>4</v>
      </c>
      <c r="D256" s="4">
        <f t="shared" si="17"/>
        <v>2023</v>
      </c>
      <c r="E256" s="4" t="str">
        <f t="shared" si="18"/>
        <v>Sat</v>
      </c>
      <c r="F256" s="4" t="str">
        <f t="shared" si="19"/>
        <v>Apr</v>
      </c>
      <c r="G256" s="3">
        <v>45024</v>
      </c>
      <c r="H256" s="4" t="s">
        <v>304</v>
      </c>
      <c r="I256" s="4" t="s">
        <v>4</v>
      </c>
      <c r="J256" s="4" t="str" cm="1">
        <f t="array" ref="J256">_xlfn.IFS(K256&gt;=50, "Senior", K256&gt;=30, "Adult", K256&lt;30,"Young Adult")</f>
        <v>Senior</v>
      </c>
      <c r="K256" s="4">
        <v>53</v>
      </c>
      <c r="L256" s="4" t="s">
        <v>7</v>
      </c>
      <c r="M256" s="4">
        <v>1</v>
      </c>
      <c r="N256" s="22">
        <v>30</v>
      </c>
      <c r="O256" s="24">
        <f>M256 * N256</f>
        <v>30</v>
      </c>
      <c r="P256" s="16">
        <f>O256 * $S$3</f>
        <v>0.44999999999999996</v>
      </c>
      <c r="Q256" s="16">
        <f>O256 * $S$4</f>
        <v>0.6</v>
      </c>
    </row>
    <row r="257" spans="1:17">
      <c r="A257" s="2">
        <v>256</v>
      </c>
      <c r="B257" s="4">
        <f t="shared" si="15"/>
        <v>18</v>
      </c>
      <c r="C257" s="4">
        <f t="shared" si="16"/>
        <v>2</v>
      </c>
      <c r="D257" s="4">
        <f t="shared" si="17"/>
        <v>2023</v>
      </c>
      <c r="E257" s="4" t="str">
        <f t="shared" si="18"/>
        <v>Sat</v>
      </c>
      <c r="F257" s="4" t="str">
        <f t="shared" si="19"/>
        <v>Feb</v>
      </c>
      <c r="G257" s="3">
        <v>44975</v>
      </c>
      <c r="H257" s="4" t="s">
        <v>509</v>
      </c>
      <c r="I257" s="4" t="s">
        <v>4</v>
      </c>
      <c r="J257" s="4" t="str" cm="1">
        <f t="array" ref="J257">_xlfn.IFS(K257&gt;=50, "Senior", K257&gt;=30, "Adult", K257&lt;30,"Young Adult")</f>
        <v>Senior</v>
      </c>
      <c r="K257" s="4">
        <v>53</v>
      </c>
      <c r="L257" s="4" t="s">
        <v>7</v>
      </c>
      <c r="M257" s="4">
        <v>2</v>
      </c>
      <c r="N257" s="22">
        <v>500</v>
      </c>
      <c r="O257" s="24">
        <f>M257 * N257</f>
        <v>1000</v>
      </c>
      <c r="P257" s="16">
        <f>O257 * $S$3</f>
        <v>15</v>
      </c>
      <c r="Q257" s="16">
        <f>O257 * $S$4</f>
        <v>20</v>
      </c>
    </row>
    <row r="258" spans="1:17">
      <c r="A258" s="2">
        <v>257</v>
      </c>
      <c r="B258" s="4">
        <f t="shared" si="15"/>
        <v>19</v>
      </c>
      <c r="C258" s="4">
        <f t="shared" si="16"/>
        <v>2</v>
      </c>
      <c r="D258" s="4">
        <f t="shared" si="17"/>
        <v>2023</v>
      </c>
      <c r="E258" s="4" t="str">
        <f t="shared" si="18"/>
        <v>Sun</v>
      </c>
      <c r="F258" s="4" t="str">
        <f t="shared" si="19"/>
        <v>Feb</v>
      </c>
      <c r="G258" s="3">
        <v>44976</v>
      </c>
      <c r="H258" s="4" t="s">
        <v>510</v>
      </c>
      <c r="I258" s="4" t="s">
        <v>4</v>
      </c>
      <c r="J258" s="4" t="str" cm="1">
        <f t="array" ref="J258">_xlfn.IFS(K258&gt;=50, "Senior", K258&gt;=30, "Adult", K258&lt;30,"Young Adult")</f>
        <v>Senior</v>
      </c>
      <c r="K258" s="4">
        <v>53</v>
      </c>
      <c r="L258" s="4" t="s">
        <v>6</v>
      </c>
      <c r="M258" s="4">
        <v>4</v>
      </c>
      <c r="N258" s="22">
        <v>500</v>
      </c>
      <c r="O258" s="24">
        <f>M258 * N258</f>
        <v>2000</v>
      </c>
      <c r="P258" s="16">
        <f>O258 * $S$3</f>
        <v>30</v>
      </c>
      <c r="Q258" s="16">
        <f>O258 * $S$4</f>
        <v>40</v>
      </c>
    </row>
    <row r="259" spans="1:17">
      <c r="A259" s="2">
        <v>258</v>
      </c>
      <c r="B259" s="4">
        <f t="shared" ref="B259:B322" si="20">DAY(G259)</f>
        <v>4</v>
      </c>
      <c r="C259" s="4">
        <f t="shared" ref="C259:C322" si="21">MONTH(G259)</f>
        <v>12</v>
      </c>
      <c r="D259" s="4">
        <f t="shared" ref="D259:D322" si="22">YEAR(G259)</f>
        <v>2023</v>
      </c>
      <c r="E259" s="4" t="str">
        <f t="shared" ref="E259:E322" si="23">TEXT(G259,"DDD")</f>
        <v>Mon</v>
      </c>
      <c r="F259" s="4" t="str">
        <f t="shared" ref="F259:F322" si="24">TEXT(G259,"MMM")</f>
        <v>Dec</v>
      </c>
      <c r="G259" s="3">
        <v>45264</v>
      </c>
      <c r="H259" s="4" t="s">
        <v>303</v>
      </c>
      <c r="I259" s="4" t="s">
        <v>3</v>
      </c>
      <c r="J259" s="4" t="str" cm="1">
        <f t="array" ref="J259">_xlfn.IFS(K259&gt;=50, "Senior", K259&gt;=30, "Adult", K259&lt;30,"Young Adult")</f>
        <v>Senior</v>
      </c>
      <c r="K259" s="4">
        <v>53</v>
      </c>
      <c r="L259" s="4" t="s">
        <v>7</v>
      </c>
      <c r="M259" s="4">
        <v>1</v>
      </c>
      <c r="N259" s="22">
        <v>50</v>
      </c>
      <c r="O259" s="24">
        <f>M259 * N259</f>
        <v>50</v>
      </c>
      <c r="P259" s="16">
        <f>O259 * $S$3</f>
        <v>0.75</v>
      </c>
      <c r="Q259" s="16">
        <f>O259 * $S$4</f>
        <v>1</v>
      </c>
    </row>
    <row r="260" spans="1:17">
      <c r="A260" s="2">
        <v>259</v>
      </c>
      <c r="B260" s="4">
        <f t="shared" si="20"/>
        <v>9</v>
      </c>
      <c r="C260" s="4">
        <f t="shared" si="21"/>
        <v>8</v>
      </c>
      <c r="D260" s="4">
        <f t="shared" si="22"/>
        <v>2023</v>
      </c>
      <c r="E260" s="4" t="str">
        <f t="shared" si="23"/>
        <v>Wed</v>
      </c>
      <c r="F260" s="4" t="str">
        <f t="shared" si="24"/>
        <v>Aug</v>
      </c>
      <c r="G260" s="3">
        <v>45147</v>
      </c>
      <c r="H260" s="4" t="s">
        <v>302</v>
      </c>
      <c r="I260" s="4" t="s">
        <v>3</v>
      </c>
      <c r="J260" s="4" t="str" cm="1">
        <f t="array" ref="J260">_xlfn.IFS(K260&gt;=50, "Senior", K260&gt;=30, "Adult", K260&lt;30,"Young Adult")</f>
        <v>Senior</v>
      </c>
      <c r="K260" s="4">
        <v>53</v>
      </c>
      <c r="L260" s="4" t="s">
        <v>7</v>
      </c>
      <c r="M260" s="4">
        <v>4</v>
      </c>
      <c r="N260" s="22">
        <v>50</v>
      </c>
      <c r="O260" s="24">
        <f>M260 * N260</f>
        <v>200</v>
      </c>
      <c r="P260" s="16">
        <f>O260 * $S$3</f>
        <v>3</v>
      </c>
      <c r="Q260" s="16">
        <f>O260 * $S$4</f>
        <v>4</v>
      </c>
    </row>
    <row r="261" spans="1:17">
      <c r="A261" s="2">
        <v>260</v>
      </c>
      <c r="B261" s="4">
        <f t="shared" si="20"/>
        <v>1</v>
      </c>
      <c r="C261" s="4">
        <f t="shared" si="21"/>
        <v>7</v>
      </c>
      <c r="D261" s="4">
        <f t="shared" si="22"/>
        <v>2023</v>
      </c>
      <c r="E261" s="4" t="str">
        <f t="shared" si="23"/>
        <v>Sat</v>
      </c>
      <c r="F261" s="4" t="str">
        <f t="shared" si="24"/>
        <v>Jul</v>
      </c>
      <c r="G261" s="3">
        <v>45108</v>
      </c>
      <c r="H261" s="4" t="s">
        <v>511</v>
      </c>
      <c r="I261" s="4" t="s">
        <v>4</v>
      </c>
      <c r="J261" s="4" t="str" cm="1">
        <f t="array" ref="J261">_xlfn.IFS(K261&gt;=50, "Senior", K261&gt;=30, "Adult", K261&lt;30,"Young Adult")</f>
        <v>Senior</v>
      </c>
      <c r="K261" s="4">
        <v>53</v>
      </c>
      <c r="L261" s="4" t="s">
        <v>6</v>
      </c>
      <c r="M261" s="4">
        <v>2</v>
      </c>
      <c r="N261" s="22">
        <v>30</v>
      </c>
      <c r="O261" s="24">
        <f>M261 * N261</f>
        <v>60</v>
      </c>
      <c r="P261" s="16">
        <f>O261 * $S$3</f>
        <v>0.89999999999999991</v>
      </c>
      <c r="Q261" s="16">
        <f>O261 * $S$4</f>
        <v>1.2</v>
      </c>
    </row>
    <row r="262" spans="1:17">
      <c r="A262" s="2">
        <v>261</v>
      </c>
      <c r="B262" s="4">
        <f t="shared" si="20"/>
        <v>5</v>
      </c>
      <c r="C262" s="4">
        <f t="shared" si="21"/>
        <v>8</v>
      </c>
      <c r="D262" s="4">
        <f t="shared" si="22"/>
        <v>2023</v>
      </c>
      <c r="E262" s="4" t="str">
        <f t="shared" si="23"/>
        <v>Sat</v>
      </c>
      <c r="F262" s="4" t="str">
        <f t="shared" si="24"/>
        <v>Aug</v>
      </c>
      <c r="G262" s="3">
        <v>45143</v>
      </c>
      <c r="H262" s="4" t="s">
        <v>512</v>
      </c>
      <c r="I262" s="4" t="s">
        <v>4</v>
      </c>
      <c r="J262" s="4" t="str" cm="1">
        <f t="array" ref="J262">_xlfn.IFS(K262&gt;=50, "Senior", K262&gt;=30, "Adult", K262&lt;30,"Young Adult")</f>
        <v>Senior</v>
      </c>
      <c r="K262" s="4">
        <v>53</v>
      </c>
      <c r="L262" s="4" t="s">
        <v>7</v>
      </c>
      <c r="M262" s="4">
        <v>2</v>
      </c>
      <c r="N262" s="22">
        <v>25</v>
      </c>
      <c r="O262" s="24">
        <f>M262 * N262</f>
        <v>50</v>
      </c>
      <c r="P262" s="16">
        <f>O262 * $S$3</f>
        <v>0.75</v>
      </c>
      <c r="Q262" s="16">
        <f>O262 * $S$4</f>
        <v>1</v>
      </c>
    </row>
    <row r="263" spans="1:17">
      <c r="A263" s="2">
        <v>262</v>
      </c>
      <c r="B263" s="4">
        <f t="shared" si="20"/>
        <v>30</v>
      </c>
      <c r="C263" s="4">
        <f t="shared" si="21"/>
        <v>7</v>
      </c>
      <c r="D263" s="4">
        <f t="shared" si="22"/>
        <v>2023</v>
      </c>
      <c r="E263" s="4" t="str">
        <f t="shared" si="23"/>
        <v>Sun</v>
      </c>
      <c r="F263" s="4" t="str">
        <f t="shared" si="24"/>
        <v>Jul</v>
      </c>
      <c r="G263" s="3">
        <v>45137</v>
      </c>
      <c r="H263" s="4" t="s">
        <v>157</v>
      </c>
      <c r="I263" s="4" t="s">
        <v>3</v>
      </c>
      <c r="J263" s="4" t="str" cm="1">
        <f t="array" ref="J263">_xlfn.IFS(K263&gt;=50, "Senior", K263&gt;=30, "Adult", K263&lt;30,"Young Adult")</f>
        <v>Senior</v>
      </c>
      <c r="K263" s="4">
        <v>52</v>
      </c>
      <c r="L263" s="4" t="s">
        <v>6</v>
      </c>
      <c r="M263" s="4">
        <v>4</v>
      </c>
      <c r="N263" s="22">
        <v>30</v>
      </c>
      <c r="O263" s="24">
        <f>M263 * N263</f>
        <v>120</v>
      </c>
      <c r="P263" s="16">
        <f>O263 * $S$3</f>
        <v>1.7999999999999998</v>
      </c>
      <c r="Q263" s="16">
        <f>O263 * $S$4</f>
        <v>2.4</v>
      </c>
    </row>
    <row r="264" spans="1:17">
      <c r="A264" s="2">
        <v>263</v>
      </c>
      <c r="B264" s="4">
        <f t="shared" si="20"/>
        <v>28</v>
      </c>
      <c r="C264" s="4">
        <f t="shared" si="21"/>
        <v>8</v>
      </c>
      <c r="D264" s="4">
        <f t="shared" si="22"/>
        <v>2023</v>
      </c>
      <c r="E264" s="4" t="str">
        <f t="shared" si="23"/>
        <v>Mon</v>
      </c>
      <c r="F264" s="4" t="str">
        <f t="shared" si="24"/>
        <v>Aug</v>
      </c>
      <c r="G264" s="3">
        <v>45166</v>
      </c>
      <c r="H264" s="4" t="s">
        <v>513</v>
      </c>
      <c r="I264" s="4" t="s">
        <v>4</v>
      </c>
      <c r="J264" s="4" t="str" cm="1">
        <f t="array" ref="J264">_xlfn.IFS(K264&gt;=50, "Senior", K264&gt;=30, "Adult", K264&lt;30,"Young Adult")</f>
        <v>Senior</v>
      </c>
      <c r="K264" s="4">
        <v>52</v>
      </c>
      <c r="L264" s="4" t="s">
        <v>6</v>
      </c>
      <c r="M264" s="4">
        <v>2</v>
      </c>
      <c r="N264" s="22">
        <v>30</v>
      </c>
      <c r="O264" s="24">
        <f>M264 * N264</f>
        <v>60</v>
      </c>
      <c r="P264" s="16">
        <f>O264 * $S$3</f>
        <v>0.89999999999999991</v>
      </c>
      <c r="Q264" s="16">
        <f>O264 * $S$4</f>
        <v>1.2</v>
      </c>
    </row>
    <row r="265" spans="1:17">
      <c r="A265" s="2">
        <v>264</v>
      </c>
      <c r="B265" s="4">
        <f t="shared" si="20"/>
        <v>28</v>
      </c>
      <c r="C265" s="4">
        <f t="shared" si="21"/>
        <v>1</v>
      </c>
      <c r="D265" s="4">
        <f t="shared" si="22"/>
        <v>2023</v>
      </c>
      <c r="E265" s="4" t="str">
        <f t="shared" si="23"/>
        <v>Sat</v>
      </c>
      <c r="F265" s="4" t="str">
        <f t="shared" si="24"/>
        <v>Jan</v>
      </c>
      <c r="G265" s="3">
        <v>44954</v>
      </c>
      <c r="H265" s="4" t="s">
        <v>300</v>
      </c>
      <c r="I265" s="4" t="s">
        <v>4</v>
      </c>
      <c r="J265" s="4" t="str" cm="1">
        <f t="array" ref="J265">_xlfn.IFS(K265&gt;=50, "Senior", K265&gt;=30, "Adult", K265&lt;30,"Young Adult")</f>
        <v>Senior</v>
      </c>
      <c r="K265" s="4">
        <v>52</v>
      </c>
      <c r="L265" s="4" t="s">
        <v>7</v>
      </c>
      <c r="M265" s="4">
        <v>3</v>
      </c>
      <c r="N265" s="22">
        <v>300</v>
      </c>
      <c r="O265" s="24">
        <f>M265 * N265</f>
        <v>900</v>
      </c>
      <c r="P265" s="16">
        <f>O265 * $S$3</f>
        <v>13.5</v>
      </c>
      <c r="Q265" s="16">
        <f>O265 * $S$4</f>
        <v>18</v>
      </c>
    </row>
    <row r="266" spans="1:17">
      <c r="A266" s="2">
        <v>265</v>
      </c>
      <c r="B266" s="4">
        <f t="shared" si="20"/>
        <v>11</v>
      </c>
      <c r="C266" s="4">
        <f t="shared" si="21"/>
        <v>12</v>
      </c>
      <c r="D266" s="4">
        <f t="shared" si="22"/>
        <v>2023</v>
      </c>
      <c r="E266" s="4" t="str">
        <f t="shared" si="23"/>
        <v>Mon</v>
      </c>
      <c r="F266" s="4" t="str">
        <f t="shared" si="24"/>
        <v>Dec</v>
      </c>
      <c r="G266" s="3">
        <v>45271</v>
      </c>
      <c r="H266" s="4" t="s">
        <v>514</v>
      </c>
      <c r="I266" s="4" t="s">
        <v>4</v>
      </c>
      <c r="J266" s="4" t="str" cm="1">
        <f t="array" ref="J266">_xlfn.IFS(K266&gt;=50, "Senior", K266&gt;=30, "Adult", K266&lt;30,"Young Adult")</f>
        <v>Senior</v>
      </c>
      <c r="K266" s="4">
        <v>52</v>
      </c>
      <c r="L266" s="4" t="s">
        <v>7</v>
      </c>
      <c r="M266" s="4">
        <v>3</v>
      </c>
      <c r="N266" s="22">
        <v>300</v>
      </c>
      <c r="O266" s="24">
        <f>M266 * N266</f>
        <v>900</v>
      </c>
      <c r="P266" s="16">
        <f>O266 * $S$3</f>
        <v>13.5</v>
      </c>
      <c r="Q266" s="16">
        <f>O266 * $S$4</f>
        <v>18</v>
      </c>
    </row>
    <row r="267" spans="1:17">
      <c r="A267" s="2">
        <v>266</v>
      </c>
      <c r="B267" s="4">
        <f t="shared" si="20"/>
        <v>1</v>
      </c>
      <c r="C267" s="4">
        <f t="shared" si="21"/>
        <v>12</v>
      </c>
      <c r="D267" s="4">
        <f t="shared" si="22"/>
        <v>2023</v>
      </c>
      <c r="E267" s="4" t="str">
        <f t="shared" si="23"/>
        <v>Fri</v>
      </c>
      <c r="F267" s="4" t="str">
        <f t="shared" si="24"/>
        <v>Dec</v>
      </c>
      <c r="G267" s="3">
        <v>45261</v>
      </c>
      <c r="H267" s="4" t="s">
        <v>515</v>
      </c>
      <c r="I267" s="4" t="s">
        <v>3</v>
      </c>
      <c r="J267" s="4" t="str" cm="1">
        <f t="array" ref="J267">_xlfn.IFS(K267&gt;=50, "Senior", K267&gt;=30, "Adult", K267&lt;30,"Young Adult")</f>
        <v>Senior</v>
      </c>
      <c r="K267" s="4">
        <v>52</v>
      </c>
      <c r="L267" s="4" t="s">
        <v>8</v>
      </c>
      <c r="M267" s="4">
        <v>2</v>
      </c>
      <c r="N267" s="22">
        <v>30</v>
      </c>
      <c r="O267" s="24">
        <f>M267 * N267</f>
        <v>60</v>
      </c>
      <c r="P267" s="16">
        <f>O267 * $S$3</f>
        <v>0.89999999999999991</v>
      </c>
      <c r="Q267" s="16">
        <f>O267 * $S$4</f>
        <v>1.2</v>
      </c>
    </row>
    <row r="268" spans="1:17">
      <c r="A268" s="2">
        <v>267</v>
      </c>
      <c r="B268" s="4">
        <f t="shared" si="20"/>
        <v>27</v>
      </c>
      <c r="C268" s="4">
        <f t="shared" si="21"/>
        <v>11</v>
      </c>
      <c r="D268" s="4">
        <f t="shared" si="22"/>
        <v>2023</v>
      </c>
      <c r="E268" s="4" t="str">
        <f t="shared" si="23"/>
        <v>Mon</v>
      </c>
      <c r="F268" s="4" t="str">
        <f t="shared" si="24"/>
        <v>Nov</v>
      </c>
      <c r="G268" s="3">
        <v>45257</v>
      </c>
      <c r="H268" s="4" t="s">
        <v>156</v>
      </c>
      <c r="I268" s="4" t="s">
        <v>3</v>
      </c>
      <c r="J268" s="4" t="str" cm="1">
        <f t="array" ref="J268">_xlfn.IFS(K268&gt;=50, "Senior", K268&gt;=30, "Adult", K268&lt;30,"Young Adult")</f>
        <v>Senior</v>
      </c>
      <c r="K268" s="4">
        <v>52</v>
      </c>
      <c r="L268" s="4" t="s">
        <v>6</v>
      </c>
      <c r="M268" s="4">
        <v>3</v>
      </c>
      <c r="N268" s="22">
        <v>30</v>
      </c>
      <c r="O268" s="24">
        <f>M268 * N268</f>
        <v>90</v>
      </c>
      <c r="P268" s="16">
        <f>O268 * $S$3</f>
        <v>1.3499999999999999</v>
      </c>
      <c r="Q268" s="16">
        <f>O268 * $S$4</f>
        <v>1.8</v>
      </c>
    </row>
    <row r="269" spans="1:17">
      <c r="A269" s="2">
        <v>268</v>
      </c>
      <c r="B269" s="4">
        <f t="shared" si="20"/>
        <v>20</v>
      </c>
      <c r="C269" s="4">
        <f t="shared" si="21"/>
        <v>2</v>
      </c>
      <c r="D269" s="4">
        <f t="shared" si="22"/>
        <v>2023</v>
      </c>
      <c r="E269" s="4" t="str">
        <f t="shared" si="23"/>
        <v>Mon</v>
      </c>
      <c r="F269" s="4" t="str">
        <f t="shared" si="24"/>
        <v>Feb</v>
      </c>
      <c r="G269" s="3">
        <v>44977</v>
      </c>
      <c r="H269" s="4" t="s">
        <v>516</v>
      </c>
      <c r="I269" s="4" t="s">
        <v>3</v>
      </c>
      <c r="J269" s="4" t="str" cm="1">
        <f t="array" ref="J269">_xlfn.IFS(K269&gt;=50, "Senior", K269&gt;=30, "Adult", K269&lt;30,"Young Adult")</f>
        <v>Senior</v>
      </c>
      <c r="K269" s="4">
        <v>52</v>
      </c>
      <c r="L269" s="4" t="s">
        <v>8</v>
      </c>
      <c r="M269" s="4">
        <v>1</v>
      </c>
      <c r="N269" s="22">
        <v>30</v>
      </c>
      <c r="O269" s="24">
        <f>M269 * N269</f>
        <v>30</v>
      </c>
      <c r="P269" s="16">
        <f>O269 * $S$3</f>
        <v>0.44999999999999996</v>
      </c>
      <c r="Q269" s="16">
        <f>O269 * $S$4</f>
        <v>0.6</v>
      </c>
    </row>
    <row r="270" spans="1:17">
      <c r="A270" s="2">
        <v>269</v>
      </c>
      <c r="B270" s="4">
        <f t="shared" si="20"/>
        <v>1</v>
      </c>
      <c r="C270" s="4">
        <f t="shared" si="21"/>
        <v>2</v>
      </c>
      <c r="D270" s="4">
        <f t="shared" si="22"/>
        <v>2023</v>
      </c>
      <c r="E270" s="4" t="str">
        <f t="shared" si="23"/>
        <v>Wed</v>
      </c>
      <c r="F270" s="4" t="str">
        <f t="shared" si="24"/>
        <v>Feb</v>
      </c>
      <c r="G270" s="3">
        <v>44958</v>
      </c>
      <c r="H270" s="4" t="s">
        <v>517</v>
      </c>
      <c r="I270" s="4" t="s">
        <v>4</v>
      </c>
      <c r="J270" s="4" t="str" cm="1">
        <f t="array" ref="J270">_xlfn.IFS(K270&gt;=50, "Senior", K270&gt;=30, "Adult", K270&lt;30,"Young Adult")</f>
        <v>Senior</v>
      </c>
      <c r="K270" s="4">
        <v>52</v>
      </c>
      <c r="L270" s="4" t="s">
        <v>7</v>
      </c>
      <c r="M270" s="4">
        <v>4</v>
      </c>
      <c r="N270" s="22">
        <v>500</v>
      </c>
      <c r="O270" s="24">
        <f>M270 * N270</f>
        <v>2000</v>
      </c>
      <c r="P270" s="16">
        <f>O270 * $S$3</f>
        <v>30</v>
      </c>
      <c r="Q270" s="16">
        <f>O270 * $S$4</f>
        <v>40</v>
      </c>
    </row>
    <row r="271" spans="1:17">
      <c r="A271" s="2">
        <v>270</v>
      </c>
      <c r="B271" s="4">
        <f t="shared" si="20"/>
        <v>26</v>
      </c>
      <c r="C271" s="4">
        <f t="shared" si="21"/>
        <v>7</v>
      </c>
      <c r="D271" s="4">
        <f t="shared" si="22"/>
        <v>2023</v>
      </c>
      <c r="E271" s="4" t="str">
        <f t="shared" si="23"/>
        <v>Wed</v>
      </c>
      <c r="F271" s="4" t="str">
        <f t="shared" si="24"/>
        <v>Jul</v>
      </c>
      <c r="G271" s="3">
        <v>45133</v>
      </c>
      <c r="H271" s="4" t="s">
        <v>518</v>
      </c>
      <c r="I271" s="4" t="s">
        <v>4</v>
      </c>
      <c r="J271" s="4" t="str" cm="1">
        <f t="array" ref="J271">_xlfn.IFS(K271&gt;=50, "Senior", K271&gt;=30, "Adult", K271&lt;30,"Young Adult")</f>
        <v>Senior</v>
      </c>
      <c r="K271" s="4">
        <v>52</v>
      </c>
      <c r="L271" s="4" t="s">
        <v>8</v>
      </c>
      <c r="M271" s="4">
        <v>1</v>
      </c>
      <c r="N271" s="22">
        <v>300</v>
      </c>
      <c r="O271" s="24">
        <f>M271 * N271</f>
        <v>300</v>
      </c>
      <c r="P271" s="16">
        <f>O271 * $S$3</f>
        <v>4.5</v>
      </c>
      <c r="Q271" s="16">
        <f>O271 * $S$4</f>
        <v>6</v>
      </c>
    </row>
    <row r="272" spans="1:17">
      <c r="A272" s="2">
        <v>271</v>
      </c>
      <c r="B272" s="4">
        <f t="shared" si="20"/>
        <v>23</v>
      </c>
      <c r="C272" s="4">
        <f t="shared" si="21"/>
        <v>6</v>
      </c>
      <c r="D272" s="4">
        <f t="shared" si="22"/>
        <v>2023</v>
      </c>
      <c r="E272" s="4" t="str">
        <f t="shared" si="23"/>
        <v>Fri</v>
      </c>
      <c r="F272" s="4" t="str">
        <f t="shared" si="24"/>
        <v>Jun</v>
      </c>
      <c r="G272" s="3">
        <v>45100</v>
      </c>
      <c r="H272" s="4" t="s">
        <v>519</v>
      </c>
      <c r="I272" s="4" t="s">
        <v>3</v>
      </c>
      <c r="J272" s="4" t="str" cm="1">
        <f t="array" ref="J272">_xlfn.IFS(K272&gt;=50, "Senior", K272&gt;=30, "Adult", K272&lt;30,"Young Adult")</f>
        <v>Senior</v>
      </c>
      <c r="K272" s="4">
        <v>52</v>
      </c>
      <c r="L272" s="4" t="s">
        <v>6</v>
      </c>
      <c r="M272" s="4">
        <v>4</v>
      </c>
      <c r="N272" s="22">
        <v>30</v>
      </c>
      <c r="O272" s="24">
        <f>M272 * N272</f>
        <v>120</v>
      </c>
      <c r="P272" s="16">
        <f>O272 * $S$3</f>
        <v>1.7999999999999998</v>
      </c>
      <c r="Q272" s="16">
        <f>O272 * $S$4</f>
        <v>2.4</v>
      </c>
    </row>
    <row r="273" spans="1:17">
      <c r="A273" s="2">
        <v>272</v>
      </c>
      <c r="B273" s="4">
        <f t="shared" si="20"/>
        <v>25</v>
      </c>
      <c r="C273" s="4">
        <f t="shared" si="21"/>
        <v>2</v>
      </c>
      <c r="D273" s="4">
        <f t="shared" si="22"/>
        <v>2023</v>
      </c>
      <c r="E273" s="4" t="str">
        <f t="shared" si="23"/>
        <v>Sat</v>
      </c>
      <c r="F273" s="4" t="str">
        <f t="shared" si="24"/>
        <v>Feb</v>
      </c>
      <c r="G273" s="3">
        <v>44982</v>
      </c>
      <c r="H273" s="4" t="s">
        <v>520</v>
      </c>
      <c r="I273" s="4" t="s">
        <v>3</v>
      </c>
      <c r="J273" s="4" t="str" cm="1">
        <f t="array" ref="J273">_xlfn.IFS(K273&gt;=50, "Senior", K273&gt;=30, "Adult", K273&lt;30,"Young Adult")</f>
        <v>Senior</v>
      </c>
      <c r="K273" s="4">
        <v>52</v>
      </c>
      <c r="L273" s="4" t="s">
        <v>8</v>
      </c>
      <c r="M273" s="4">
        <v>2</v>
      </c>
      <c r="N273" s="22">
        <v>50</v>
      </c>
      <c r="O273" s="24">
        <f>M273 * N273</f>
        <v>100</v>
      </c>
      <c r="P273" s="16">
        <f>O273 * $S$3</f>
        <v>1.5</v>
      </c>
      <c r="Q273" s="16">
        <f>O273 * $S$4</f>
        <v>2</v>
      </c>
    </row>
    <row r="274" spans="1:17">
      <c r="A274" s="2">
        <v>273</v>
      </c>
      <c r="B274" s="4">
        <f t="shared" si="20"/>
        <v>8</v>
      </c>
      <c r="C274" s="4">
        <f t="shared" si="21"/>
        <v>5</v>
      </c>
      <c r="D274" s="4">
        <f t="shared" si="22"/>
        <v>2023</v>
      </c>
      <c r="E274" s="4" t="str">
        <f t="shared" si="23"/>
        <v>Mon</v>
      </c>
      <c r="F274" s="4" t="str">
        <f t="shared" si="24"/>
        <v>May</v>
      </c>
      <c r="G274" s="3">
        <v>45054</v>
      </c>
      <c r="H274" s="4" t="s">
        <v>521</v>
      </c>
      <c r="I274" s="4" t="s">
        <v>3</v>
      </c>
      <c r="J274" s="4" t="str" cm="1">
        <f t="array" ref="J274">_xlfn.IFS(K274&gt;=50, "Senior", K274&gt;=30, "Adult", K274&lt;30,"Young Adult")</f>
        <v>Senior</v>
      </c>
      <c r="K274" s="4">
        <v>52</v>
      </c>
      <c r="L274" s="4" t="s">
        <v>6</v>
      </c>
      <c r="M274" s="4">
        <v>1</v>
      </c>
      <c r="N274" s="22">
        <v>50</v>
      </c>
      <c r="O274" s="24">
        <f>M274 * N274</f>
        <v>50</v>
      </c>
      <c r="P274" s="16">
        <f>O274 * $S$3</f>
        <v>0.75</v>
      </c>
      <c r="Q274" s="16">
        <f>O274 * $S$4</f>
        <v>1</v>
      </c>
    </row>
    <row r="275" spans="1:17">
      <c r="A275" s="2">
        <v>274</v>
      </c>
      <c r="B275" s="4">
        <f t="shared" si="20"/>
        <v>9</v>
      </c>
      <c r="C275" s="4">
        <f t="shared" si="21"/>
        <v>4</v>
      </c>
      <c r="D275" s="4">
        <f t="shared" si="22"/>
        <v>2023</v>
      </c>
      <c r="E275" s="4" t="str">
        <f t="shared" si="23"/>
        <v>Sun</v>
      </c>
      <c r="F275" s="4" t="str">
        <f t="shared" si="24"/>
        <v>Apr</v>
      </c>
      <c r="G275" s="3">
        <v>45025</v>
      </c>
      <c r="H275" s="4" t="s">
        <v>522</v>
      </c>
      <c r="I275" s="4" t="s">
        <v>3</v>
      </c>
      <c r="J275" s="4" t="str" cm="1">
        <f t="array" ref="J275">_xlfn.IFS(K275&gt;=50, "Senior", K275&gt;=30, "Adult", K275&lt;30,"Young Adult")</f>
        <v>Senior</v>
      </c>
      <c r="K275" s="4">
        <v>52</v>
      </c>
      <c r="L275" s="4" t="s">
        <v>7</v>
      </c>
      <c r="M275" s="4">
        <v>2</v>
      </c>
      <c r="N275" s="22">
        <v>500</v>
      </c>
      <c r="O275" s="24">
        <f>M275 * N275</f>
        <v>1000</v>
      </c>
      <c r="P275" s="16">
        <f>O275 * $S$3</f>
        <v>15</v>
      </c>
      <c r="Q275" s="16">
        <f>O275 * $S$4</f>
        <v>20</v>
      </c>
    </row>
    <row r="276" spans="1:17">
      <c r="A276" s="2">
        <v>275</v>
      </c>
      <c r="B276" s="4">
        <f t="shared" si="20"/>
        <v>8</v>
      </c>
      <c r="C276" s="4">
        <f t="shared" si="21"/>
        <v>4</v>
      </c>
      <c r="D276" s="4">
        <f t="shared" si="22"/>
        <v>2023</v>
      </c>
      <c r="E276" s="4" t="str">
        <f t="shared" si="23"/>
        <v>Sat</v>
      </c>
      <c r="F276" s="4" t="str">
        <f t="shared" si="24"/>
        <v>Apr</v>
      </c>
      <c r="G276" s="3">
        <v>45024</v>
      </c>
      <c r="H276" s="4" t="s">
        <v>297</v>
      </c>
      <c r="I276" s="4" t="s">
        <v>4</v>
      </c>
      <c r="J276" s="4" t="str" cm="1">
        <f t="array" ref="J276">_xlfn.IFS(K276&gt;=50, "Senior", K276&gt;=30, "Adult", K276&lt;30,"Young Adult")</f>
        <v>Senior</v>
      </c>
      <c r="K276" s="4">
        <v>52</v>
      </c>
      <c r="L276" s="4" t="s">
        <v>7</v>
      </c>
      <c r="M276" s="4">
        <v>2</v>
      </c>
      <c r="N276" s="22">
        <v>500</v>
      </c>
      <c r="O276" s="24">
        <f>M276 * N276</f>
        <v>1000</v>
      </c>
      <c r="P276" s="16">
        <f>O276 * $S$3</f>
        <v>15</v>
      </c>
      <c r="Q276" s="16">
        <f>O276 * $S$4</f>
        <v>20</v>
      </c>
    </row>
    <row r="277" spans="1:17">
      <c r="A277" s="2">
        <v>276</v>
      </c>
      <c r="B277" s="4">
        <f t="shared" si="20"/>
        <v>2</v>
      </c>
      <c r="C277" s="4">
        <f t="shared" si="21"/>
        <v>10</v>
      </c>
      <c r="D277" s="4">
        <f t="shared" si="22"/>
        <v>2023</v>
      </c>
      <c r="E277" s="4" t="str">
        <f t="shared" si="23"/>
        <v>Mon</v>
      </c>
      <c r="F277" s="4" t="str">
        <f t="shared" si="24"/>
        <v>Oct</v>
      </c>
      <c r="G277" s="3">
        <v>45201</v>
      </c>
      <c r="H277" s="4" t="s">
        <v>523</v>
      </c>
      <c r="I277" s="4" t="s">
        <v>3</v>
      </c>
      <c r="J277" s="4" t="str" cm="1">
        <f t="array" ref="J277">_xlfn.IFS(K277&gt;=50, "Senior", K277&gt;=30, "Adult", K277&lt;30,"Young Adult")</f>
        <v>Senior</v>
      </c>
      <c r="K277" s="4">
        <v>52</v>
      </c>
      <c r="L277" s="4" t="s">
        <v>6</v>
      </c>
      <c r="M277" s="4">
        <v>4</v>
      </c>
      <c r="N277" s="22">
        <v>25</v>
      </c>
      <c r="O277" s="24">
        <f>M277 * N277</f>
        <v>100</v>
      </c>
      <c r="P277" s="16">
        <f>O277 * $S$3</f>
        <v>1.5</v>
      </c>
      <c r="Q277" s="16">
        <f>O277 * $S$4</f>
        <v>2</v>
      </c>
    </row>
    <row r="278" spans="1:17">
      <c r="A278" s="2">
        <v>277</v>
      </c>
      <c r="B278" s="4">
        <f t="shared" si="20"/>
        <v>18</v>
      </c>
      <c r="C278" s="4">
        <f t="shared" si="21"/>
        <v>8</v>
      </c>
      <c r="D278" s="4">
        <f t="shared" si="22"/>
        <v>2023</v>
      </c>
      <c r="E278" s="4" t="str">
        <f t="shared" si="23"/>
        <v>Fri</v>
      </c>
      <c r="F278" s="4" t="str">
        <f t="shared" si="24"/>
        <v>Aug</v>
      </c>
      <c r="G278" s="3">
        <v>45156</v>
      </c>
      <c r="H278" s="4" t="s">
        <v>296</v>
      </c>
      <c r="I278" s="4" t="s">
        <v>4</v>
      </c>
      <c r="J278" s="4" t="str" cm="1">
        <f t="array" ref="J278">_xlfn.IFS(K278&gt;=50, "Senior", K278&gt;=30, "Adult", K278&lt;30,"Young Adult")</f>
        <v>Senior</v>
      </c>
      <c r="K278" s="4">
        <v>52</v>
      </c>
      <c r="L278" s="4" t="s">
        <v>7</v>
      </c>
      <c r="M278" s="4">
        <v>4</v>
      </c>
      <c r="N278" s="22">
        <v>25</v>
      </c>
      <c r="O278" s="24">
        <f>M278 * N278</f>
        <v>100</v>
      </c>
      <c r="P278" s="16">
        <f>O278 * $S$3</f>
        <v>1.5</v>
      </c>
      <c r="Q278" s="16">
        <f>O278 * $S$4</f>
        <v>2</v>
      </c>
    </row>
    <row r="279" spans="1:17">
      <c r="A279" s="2">
        <v>278</v>
      </c>
      <c r="B279" s="4">
        <f t="shared" si="20"/>
        <v>13</v>
      </c>
      <c r="C279" s="4">
        <f t="shared" si="21"/>
        <v>3</v>
      </c>
      <c r="D279" s="4">
        <f t="shared" si="22"/>
        <v>2023</v>
      </c>
      <c r="E279" s="4" t="str">
        <f t="shared" si="23"/>
        <v>Mon</v>
      </c>
      <c r="F279" s="4" t="str">
        <f t="shared" si="24"/>
        <v>Mar</v>
      </c>
      <c r="G279" s="3">
        <v>44998</v>
      </c>
      <c r="H279" s="4" t="s">
        <v>295</v>
      </c>
      <c r="I279" s="4" t="s">
        <v>3</v>
      </c>
      <c r="J279" s="4" t="str" cm="1">
        <f t="array" ref="J279">_xlfn.IFS(K279&gt;=50, "Senior", K279&gt;=30, "Adult", K279&lt;30,"Young Adult")</f>
        <v>Senior</v>
      </c>
      <c r="K279" s="4">
        <v>52</v>
      </c>
      <c r="L279" s="4" t="s">
        <v>7</v>
      </c>
      <c r="M279" s="4">
        <v>4</v>
      </c>
      <c r="N279" s="22">
        <v>25</v>
      </c>
      <c r="O279" s="24">
        <f>M279 * N279</f>
        <v>100</v>
      </c>
      <c r="P279" s="16">
        <f>O279 * $S$3</f>
        <v>1.5</v>
      </c>
      <c r="Q279" s="16">
        <f>O279 * $S$4</f>
        <v>2</v>
      </c>
    </row>
    <row r="280" spans="1:17">
      <c r="A280" s="2">
        <v>279</v>
      </c>
      <c r="B280" s="4">
        <f t="shared" si="20"/>
        <v>5</v>
      </c>
      <c r="C280" s="4">
        <f t="shared" si="21"/>
        <v>8</v>
      </c>
      <c r="D280" s="4">
        <f t="shared" si="22"/>
        <v>2023</v>
      </c>
      <c r="E280" s="4" t="str">
        <f t="shared" si="23"/>
        <v>Sat</v>
      </c>
      <c r="F280" s="4" t="str">
        <f t="shared" si="24"/>
        <v>Aug</v>
      </c>
      <c r="G280" s="3">
        <v>45143</v>
      </c>
      <c r="H280" s="4" t="s">
        <v>524</v>
      </c>
      <c r="I280" s="4" t="s">
        <v>4</v>
      </c>
      <c r="J280" s="4" t="str" cm="1">
        <f t="array" ref="J280">_xlfn.IFS(K280&gt;=50, "Senior", K280&gt;=30, "Adult", K280&lt;30,"Young Adult")</f>
        <v>Senior</v>
      </c>
      <c r="K280" s="4">
        <v>52</v>
      </c>
      <c r="L280" s="4" t="s">
        <v>7</v>
      </c>
      <c r="M280" s="4">
        <v>1</v>
      </c>
      <c r="N280" s="22">
        <v>500</v>
      </c>
      <c r="O280" s="24">
        <f>M280 * N280</f>
        <v>500</v>
      </c>
      <c r="P280" s="16">
        <f>O280 * $S$3</f>
        <v>7.5</v>
      </c>
      <c r="Q280" s="16">
        <f>O280 * $S$4</f>
        <v>10</v>
      </c>
    </row>
    <row r="281" spans="1:17">
      <c r="A281" s="2">
        <v>280</v>
      </c>
      <c r="B281" s="4">
        <f t="shared" si="20"/>
        <v>4</v>
      </c>
      <c r="C281" s="4">
        <f t="shared" si="21"/>
        <v>4</v>
      </c>
      <c r="D281" s="4">
        <f t="shared" si="22"/>
        <v>2023</v>
      </c>
      <c r="E281" s="4" t="str">
        <f t="shared" si="23"/>
        <v>Tue</v>
      </c>
      <c r="F281" s="4" t="str">
        <f t="shared" si="24"/>
        <v>Apr</v>
      </c>
      <c r="G281" s="3">
        <v>45020</v>
      </c>
      <c r="H281" s="4" t="s">
        <v>294</v>
      </c>
      <c r="I281" s="4" t="s">
        <v>3</v>
      </c>
      <c r="J281" s="4" t="str" cm="1">
        <f t="array" ref="J281">_xlfn.IFS(K281&gt;=50, "Senior", K281&gt;=30, "Adult", K281&lt;30,"Young Adult")</f>
        <v>Senior</v>
      </c>
      <c r="K281" s="4">
        <v>52</v>
      </c>
      <c r="L281" s="4" t="s">
        <v>7</v>
      </c>
      <c r="M281" s="4">
        <v>3</v>
      </c>
      <c r="N281" s="22">
        <v>500</v>
      </c>
      <c r="O281" s="24">
        <f>M281 * N281</f>
        <v>1500</v>
      </c>
      <c r="P281" s="16">
        <f>O281 * $S$3</f>
        <v>22.5</v>
      </c>
      <c r="Q281" s="16">
        <f>O281 * $S$4</f>
        <v>30</v>
      </c>
    </row>
    <row r="282" spans="1:17">
      <c r="A282" s="2">
        <v>281</v>
      </c>
      <c r="B282" s="4">
        <f t="shared" si="20"/>
        <v>23</v>
      </c>
      <c r="C282" s="4">
        <f t="shared" si="21"/>
        <v>5</v>
      </c>
      <c r="D282" s="4">
        <f t="shared" si="22"/>
        <v>2023</v>
      </c>
      <c r="E282" s="4" t="str">
        <f t="shared" si="23"/>
        <v>Tue</v>
      </c>
      <c r="F282" s="4" t="str">
        <f t="shared" si="24"/>
        <v>May</v>
      </c>
      <c r="G282" s="3">
        <v>45069</v>
      </c>
      <c r="H282" s="4" t="s">
        <v>525</v>
      </c>
      <c r="I282" s="4" t="s">
        <v>3</v>
      </c>
      <c r="J282" s="4" t="str" cm="1">
        <f t="array" ref="J282">_xlfn.IFS(K282&gt;=50, "Senior", K282&gt;=30, "Adult", K282&lt;30,"Young Adult")</f>
        <v>Senior</v>
      </c>
      <c r="K282" s="4">
        <v>52</v>
      </c>
      <c r="L282" s="4" t="s">
        <v>6</v>
      </c>
      <c r="M282" s="4">
        <v>4</v>
      </c>
      <c r="N282" s="22">
        <v>500</v>
      </c>
      <c r="O282" s="24">
        <f>M282 * N282</f>
        <v>2000</v>
      </c>
      <c r="P282" s="16">
        <f>O282 * $S$3</f>
        <v>30</v>
      </c>
      <c r="Q282" s="16">
        <f>O282 * $S$4</f>
        <v>40</v>
      </c>
    </row>
    <row r="283" spans="1:17">
      <c r="A283" s="2">
        <v>282</v>
      </c>
      <c r="B283" s="4">
        <f t="shared" si="20"/>
        <v>25</v>
      </c>
      <c r="C283" s="4">
        <f t="shared" si="21"/>
        <v>8</v>
      </c>
      <c r="D283" s="4">
        <f t="shared" si="22"/>
        <v>2023</v>
      </c>
      <c r="E283" s="4" t="str">
        <f t="shared" si="23"/>
        <v>Fri</v>
      </c>
      <c r="F283" s="4" t="str">
        <f t="shared" si="24"/>
        <v>Aug</v>
      </c>
      <c r="G283" s="3">
        <v>45163</v>
      </c>
      <c r="H283" s="4" t="s">
        <v>526</v>
      </c>
      <c r="I283" s="4" t="s">
        <v>3</v>
      </c>
      <c r="J283" s="4" t="str" cm="1">
        <f t="array" ref="J283">_xlfn.IFS(K283&gt;=50, "Senior", K283&gt;=30, "Adult", K283&lt;30,"Young Adult")</f>
        <v>Senior</v>
      </c>
      <c r="K283" s="4">
        <v>52</v>
      </c>
      <c r="L283" s="4" t="s">
        <v>8</v>
      </c>
      <c r="M283" s="4">
        <v>4</v>
      </c>
      <c r="N283" s="22">
        <v>50</v>
      </c>
      <c r="O283" s="24">
        <f>M283 * N283</f>
        <v>200</v>
      </c>
      <c r="P283" s="16">
        <f>O283 * $S$3</f>
        <v>3</v>
      </c>
      <c r="Q283" s="16">
        <f>O283 * $S$4</f>
        <v>4</v>
      </c>
    </row>
    <row r="284" spans="1:17">
      <c r="A284" s="2">
        <v>283</v>
      </c>
      <c r="B284" s="4">
        <f t="shared" si="20"/>
        <v>8</v>
      </c>
      <c r="C284" s="4">
        <f t="shared" si="21"/>
        <v>5</v>
      </c>
      <c r="D284" s="4">
        <f t="shared" si="22"/>
        <v>2023</v>
      </c>
      <c r="E284" s="4" t="str">
        <f t="shared" si="23"/>
        <v>Mon</v>
      </c>
      <c r="F284" s="4" t="str">
        <f t="shared" si="24"/>
        <v>May</v>
      </c>
      <c r="G284" s="3">
        <v>45054</v>
      </c>
      <c r="H284" s="4" t="s">
        <v>527</v>
      </c>
      <c r="I284" s="4" t="s">
        <v>3</v>
      </c>
      <c r="J284" s="4" t="str" cm="1">
        <f t="array" ref="J284">_xlfn.IFS(K284&gt;=50, "Senior", K284&gt;=30, "Adult", K284&lt;30,"Young Adult")</f>
        <v>Senior</v>
      </c>
      <c r="K284" s="4">
        <v>52</v>
      </c>
      <c r="L284" s="4" t="s">
        <v>8</v>
      </c>
      <c r="M284" s="4">
        <v>1</v>
      </c>
      <c r="N284" s="22">
        <v>500</v>
      </c>
      <c r="O284" s="24">
        <f>M284 * N284</f>
        <v>500</v>
      </c>
      <c r="P284" s="16">
        <f>O284 * $S$3</f>
        <v>7.5</v>
      </c>
      <c r="Q284" s="16">
        <f>O284 * $S$4</f>
        <v>10</v>
      </c>
    </row>
    <row r="285" spans="1:17">
      <c r="A285" s="2">
        <v>284</v>
      </c>
      <c r="B285" s="4">
        <f t="shared" si="20"/>
        <v>8</v>
      </c>
      <c r="C285" s="4">
        <f t="shared" si="21"/>
        <v>2</v>
      </c>
      <c r="D285" s="4">
        <f t="shared" si="22"/>
        <v>2023</v>
      </c>
      <c r="E285" s="4" t="str">
        <f t="shared" si="23"/>
        <v>Wed</v>
      </c>
      <c r="F285" s="4" t="str">
        <f t="shared" si="24"/>
        <v>Feb</v>
      </c>
      <c r="G285" s="3">
        <v>44965</v>
      </c>
      <c r="H285" s="4" t="s">
        <v>293</v>
      </c>
      <c r="I285" s="4" t="s">
        <v>4</v>
      </c>
      <c r="J285" s="4" t="str" cm="1">
        <f t="array" ref="J285">_xlfn.IFS(K285&gt;=50, "Senior", K285&gt;=30, "Adult", K285&lt;30,"Young Adult")</f>
        <v>Senior</v>
      </c>
      <c r="K285" s="4">
        <v>51</v>
      </c>
      <c r="L285" s="4" t="s">
        <v>7</v>
      </c>
      <c r="M285" s="4">
        <v>4</v>
      </c>
      <c r="N285" s="22">
        <v>50</v>
      </c>
      <c r="O285" s="24">
        <f>M285 * N285</f>
        <v>200</v>
      </c>
      <c r="P285" s="16">
        <f>O285 * $S$3</f>
        <v>3</v>
      </c>
      <c r="Q285" s="16">
        <f>O285 * $S$4</f>
        <v>4</v>
      </c>
    </row>
    <row r="286" spans="1:17">
      <c r="A286" s="2">
        <v>285</v>
      </c>
      <c r="B286" s="4">
        <f t="shared" si="20"/>
        <v>15</v>
      </c>
      <c r="C286" s="4">
        <f t="shared" si="21"/>
        <v>8</v>
      </c>
      <c r="D286" s="4">
        <f t="shared" si="22"/>
        <v>2023</v>
      </c>
      <c r="E286" s="4" t="str">
        <f t="shared" si="23"/>
        <v>Tue</v>
      </c>
      <c r="F286" s="4" t="str">
        <f t="shared" si="24"/>
        <v>Aug</v>
      </c>
      <c r="G286" s="3">
        <v>45153</v>
      </c>
      <c r="H286" s="4" t="s">
        <v>528</v>
      </c>
      <c r="I286" s="4" t="s">
        <v>3</v>
      </c>
      <c r="J286" s="4" t="str" cm="1">
        <f t="array" ref="J286">_xlfn.IFS(K286&gt;=50, "Senior", K286&gt;=30, "Adult", K286&lt;30,"Young Adult")</f>
        <v>Senior</v>
      </c>
      <c r="K286" s="4">
        <v>51</v>
      </c>
      <c r="L286" s="4" t="s">
        <v>8</v>
      </c>
      <c r="M286" s="4">
        <v>1</v>
      </c>
      <c r="N286" s="22">
        <v>25</v>
      </c>
      <c r="O286" s="24">
        <f>M286 * N286</f>
        <v>25</v>
      </c>
      <c r="P286" s="16">
        <f>O286 * $S$3</f>
        <v>0.375</v>
      </c>
      <c r="Q286" s="16">
        <f>O286 * $S$4</f>
        <v>0.5</v>
      </c>
    </row>
    <row r="287" spans="1:17">
      <c r="A287" s="2">
        <v>286</v>
      </c>
      <c r="B287" s="4">
        <f t="shared" si="20"/>
        <v>9</v>
      </c>
      <c r="C287" s="4">
        <f t="shared" si="21"/>
        <v>10</v>
      </c>
      <c r="D287" s="4">
        <f t="shared" si="22"/>
        <v>2023</v>
      </c>
      <c r="E287" s="4" t="str">
        <f t="shared" si="23"/>
        <v>Mon</v>
      </c>
      <c r="F287" s="4" t="str">
        <f t="shared" si="24"/>
        <v>Oct</v>
      </c>
      <c r="G287" s="3">
        <v>45208</v>
      </c>
      <c r="H287" s="4" t="s">
        <v>529</v>
      </c>
      <c r="I287" s="4" t="s">
        <v>4</v>
      </c>
      <c r="J287" s="4" t="str" cm="1">
        <f t="array" ref="J287">_xlfn.IFS(K287&gt;=50, "Senior", K287&gt;=30, "Adult", K287&lt;30,"Young Adult")</f>
        <v>Senior</v>
      </c>
      <c r="K287" s="4">
        <v>51</v>
      </c>
      <c r="L287" s="4" t="s">
        <v>8</v>
      </c>
      <c r="M287" s="4">
        <v>2</v>
      </c>
      <c r="N287" s="22">
        <v>25</v>
      </c>
      <c r="O287" s="24">
        <f>M287 * N287</f>
        <v>50</v>
      </c>
      <c r="P287" s="16">
        <f>O287 * $S$3</f>
        <v>0.75</v>
      </c>
      <c r="Q287" s="16">
        <f>O287 * $S$4</f>
        <v>1</v>
      </c>
    </row>
    <row r="288" spans="1:17">
      <c r="A288" s="2">
        <v>287</v>
      </c>
      <c r="B288" s="4">
        <f t="shared" si="20"/>
        <v>20</v>
      </c>
      <c r="C288" s="4">
        <f t="shared" si="21"/>
        <v>2</v>
      </c>
      <c r="D288" s="4">
        <f t="shared" si="22"/>
        <v>2023</v>
      </c>
      <c r="E288" s="4" t="str">
        <f t="shared" si="23"/>
        <v>Mon</v>
      </c>
      <c r="F288" s="4" t="str">
        <f t="shared" si="24"/>
        <v>Feb</v>
      </c>
      <c r="G288" s="3">
        <v>44977</v>
      </c>
      <c r="H288" s="4" t="s">
        <v>530</v>
      </c>
      <c r="I288" s="4" t="s">
        <v>4</v>
      </c>
      <c r="J288" s="4" t="str" cm="1">
        <f t="array" ref="J288">_xlfn.IFS(K288&gt;=50, "Senior", K288&gt;=30, "Adult", K288&lt;30,"Young Adult")</f>
        <v>Senior</v>
      </c>
      <c r="K288" s="4">
        <v>51</v>
      </c>
      <c r="L288" s="4" t="s">
        <v>7</v>
      </c>
      <c r="M288" s="4">
        <v>4</v>
      </c>
      <c r="N288" s="22">
        <v>25</v>
      </c>
      <c r="O288" s="24">
        <f>M288 * N288</f>
        <v>100</v>
      </c>
      <c r="P288" s="16">
        <f>O288 * $S$3</f>
        <v>1.5</v>
      </c>
      <c r="Q288" s="16">
        <f>O288 * $S$4</f>
        <v>2</v>
      </c>
    </row>
    <row r="289" spans="1:17">
      <c r="A289" s="2">
        <v>288</v>
      </c>
      <c r="B289" s="4">
        <f t="shared" si="20"/>
        <v>26</v>
      </c>
      <c r="C289" s="4">
        <f t="shared" si="21"/>
        <v>1</v>
      </c>
      <c r="D289" s="4">
        <f t="shared" si="22"/>
        <v>2023</v>
      </c>
      <c r="E289" s="4" t="str">
        <f t="shared" si="23"/>
        <v>Thu</v>
      </c>
      <c r="F289" s="4" t="str">
        <f t="shared" si="24"/>
        <v>Jan</v>
      </c>
      <c r="G289" s="3">
        <v>44952</v>
      </c>
      <c r="H289" s="4" t="s">
        <v>531</v>
      </c>
      <c r="I289" s="4" t="s">
        <v>4</v>
      </c>
      <c r="J289" s="4" t="str" cm="1">
        <f t="array" ref="J289">_xlfn.IFS(K289&gt;=50, "Senior", K289&gt;=30, "Adult", K289&lt;30,"Young Adult")</f>
        <v>Senior</v>
      </c>
      <c r="K289" s="4">
        <v>51</v>
      </c>
      <c r="L289" s="4" t="s">
        <v>7</v>
      </c>
      <c r="M289" s="4">
        <v>4</v>
      </c>
      <c r="N289" s="22">
        <v>30</v>
      </c>
      <c r="O289" s="24">
        <f>M289 * N289</f>
        <v>120</v>
      </c>
      <c r="P289" s="16">
        <f>O289 * $S$3</f>
        <v>1.7999999999999998</v>
      </c>
      <c r="Q289" s="16">
        <f>O289 * $S$4</f>
        <v>2.4</v>
      </c>
    </row>
    <row r="290" spans="1:17">
      <c r="A290" s="2">
        <v>289</v>
      </c>
      <c r="B290" s="4">
        <f t="shared" si="20"/>
        <v>30</v>
      </c>
      <c r="C290" s="4">
        <f t="shared" si="21"/>
        <v>11</v>
      </c>
      <c r="D290" s="4">
        <f t="shared" si="22"/>
        <v>2023</v>
      </c>
      <c r="E290" s="4" t="str">
        <f t="shared" si="23"/>
        <v>Thu</v>
      </c>
      <c r="F290" s="4" t="str">
        <f t="shared" si="24"/>
        <v>Nov</v>
      </c>
      <c r="G290" s="3">
        <v>45260</v>
      </c>
      <c r="H290" s="4" t="s">
        <v>532</v>
      </c>
      <c r="I290" s="4" t="s">
        <v>4</v>
      </c>
      <c r="J290" s="4" t="str" cm="1">
        <f t="array" ref="J290">_xlfn.IFS(K290&gt;=50, "Senior", K290&gt;=30, "Adult", K290&lt;30,"Young Adult")</f>
        <v>Senior</v>
      </c>
      <c r="K290" s="4">
        <v>51</v>
      </c>
      <c r="L290" s="4" t="s">
        <v>8</v>
      </c>
      <c r="M290" s="4">
        <v>2</v>
      </c>
      <c r="N290" s="22">
        <v>30</v>
      </c>
      <c r="O290" s="24">
        <f>M290 * N290</f>
        <v>60</v>
      </c>
      <c r="P290" s="16">
        <f>O290 * $S$3</f>
        <v>0.89999999999999991</v>
      </c>
      <c r="Q290" s="16">
        <f>O290 * $S$4</f>
        <v>1.2</v>
      </c>
    </row>
    <row r="291" spans="1:17">
      <c r="A291" s="2">
        <v>290</v>
      </c>
      <c r="B291" s="4">
        <f t="shared" si="20"/>
        <v>4</v>
      </c>
      <c r="C291" s="4">
        <f t="shared" si="21"/>
        <v>10</v>
      </c>
      <c r="D291" s="4">
        <f t="shared" si="22"/>
        <v>2023</v>
      </c>
      <c r="E291" s="4" t="str">
        <f t="shared" si="23"/>
        <v>Wed</v>
      </c>
      <c r="F291" s="4" t="str">
        <f t="shared" si="24"/>
        <v>Oct</v>
      </c>
      <c r="G291" s="3">
        <v>45203</v>
      </c>
      <c r="H291" s="4" t="s">
        <v>155</v>
      </c>
      <c r="I291" s="4" t="s">
        <v>3</v>
      </c>
      <c r="J291" s="4" t="str" cm="1">
        <f t="array" ref="J291">_xlfn.IFS(K291&gt;=50, "Senior", K291&gt;=30, "Adult", K291&lt;30,"Young Adult")</f>
        <v>Senior</v>
      </c>
      <c r="K291" s="4">
        <v>51</v>
      </c>
      <c r="L291" s="4" t="s">
        <v>6</v>
      </c>
      <c r="M291" s="4">
        <v>2</v>
      </c>
      <c r="N291" s="22">
        <v>300</v>
      </c>
      <c r="O291" s="24">
        <f>M291 * N291</f>
        <v>600</v>
      </c>
      <c r="P291" s="16">
        <f>O291 * $S$3</f>
        <v>9</v>
      </c>
      <c r="Q291" s="16">
        <f>O291 * $S$4</f>
        <v>12</v>
      </c>
    </row>
    <row r="292" spans="1:17">
      <c r="A292" s="2">
        <v>291</v>
      </c>
      <c r="B292" s="4">
        <f t="shared" si="20"/>
        <v>8</v>
      </c>
      <c r="C292" s="4">
        <f t="shared" si="21"/>
        <v>1</v>
      </c>
      <c r="D292" s="4">
        <f t="shared" si="22"/>
        <v>2023</v>
      </c>
      <c r="E292" s="4" t="str">
        <f t="shared" si="23"/>
        <v>Sun</v>
      </c>
      <c r="F292" s="4" t="str">
        <f t="shared" si="24"/>
        <v>Jan</v>
      </c>
      <c r="G292" s="3">
        <v>44934</v>
      </c>
      <c r="H292" s="4" t="s">
        <v>533</v>
      </c>
      <c r="I292" s="4" t="s">
        <v>4</v>
      </c>
      <c r="J292" s="4" t="str" cm="1">
        <f t="array" ref="J292">_xlfn.IFS(K292&gt;=50, "Senior", K292&gt;=30, "Adult", K292&lt;30,"Young Adult")</f>
        <v>Senior</v>
      </c>
      <c r="K292" s="4">
        <v>51</v>
      </c>
      <c r="L292" s="4" t="s">
        <v>7</v>
      </c>
      <c r="M292" s="4">
        <v>2</v>
      </c>
      <c r="N292" s="22">
        <v>300</v>
      </c>
      <c r="O292" s="24">
        <f>M292 * N292</f>
        <v>600</v>
      </c>
      <c r="P292" s="16">
        <f>O292 * $S$3</f>
        <v>9</v>
      </c>
      <c r="Q292" s="16">
        <f>O292 * $S$4</f>
        <v>12</v>
      </c>
    </row>
    <row r="293" spans="1:17">
      <c r="A293" s="2">
        <v>292</v>
      </c>
      <c r="B293" s="4">
        <f t="shared" si="20"/>
        <v>17</v>
      </c>
      <c r="C293" s="4">
        <f t="shared" si="21"/>
        <v>2</v>
      </c>
      <c r="D293" s="4">
        <f t="shared" si="22"/>
        <v>2023</v>
      </c>
      <c r="E293" s="4" t="str">
        <f t="shared" si="23"/>
        <v>Fri</v>
      </c>
      <c r="F293" s="4" t="str">
        <f t="shared" si="24"/>
        <v>Feb</v>
      </c>
      <c r="G293" s="3">
        <v>44974</v>
      </c>
      <c r="H293" s="4" t="s">
        <v>534</v>
      </c>
      <c r="I293" s="4" t="s">
        <v>4</v>
      </c>
      <c r="J293" s="4" t="str" cm="1">
        <f t="array" ref="J293">_xlfn.IFS(K293&gt;=50, "Senior", K293&gt;=30, "Adult", K293&lt;30,"Young Adult")</f>
        <v>Senior</v>
      </c>
      <c r="K293" s="4">
        <v>51</v>
      </c>
      <c r="L293" s="4" t="s">
        <v>6</v>
      </c>
      <c r="M293" s="4">
        <v>4</v>
      </c>
      <c r="N293" s="22">
        <v>300</v>
      </c>
      <c r="O293" s="24">
        <f>M293 * N293</f>
        <v>1200</v>
      </c>
      <c r="P293" s="16">
        <f>O293 * $S$3</f>
        <v>18</v>
      </c>
      <c r="Q293" s="16">
        <f>O293 * $S$4</f>
        <v>24</v>
      </c>
    </row>
    <row r="294" spans="1:17">
      <c r="A294" s="2">
        <v>293</v>
      </c>
      <c r="B294" s="4">
        <f t="shared" si="20"/>
        <v>2</v>
      </c>
      <c r="C294" s="4">
        <f t="shared" si="21"/>
        <v>5</v>
      </c>
      <c r="D294" s="4">
        <f t="shared" si="22"/>
        <v>2023</v>
      </c>
      <c r="E294" s="4" t="str">
        <f t="shared" si="23"/>
        <v>Tue</v>
      </c>
      <c r="F294" s="4" t="str">
        <f t="shared" si="24"/>
        <v>May</v>
      </c>
      <c r="G294" s="3">
        <v>45048</v>
      </c>
      <c r="H294" s="4" t="s">
        <v>535</v>
      </c>
      <c r="I294" s="4" t="s">
        <v>4</v>
      </c>
      <c r="J294" s="4" t="str" cm="1">
        <f t="array" ref="J294">_xlfn.IFS(K294&gt;=50, "Senior", K294&gt;=30, "Adult", K294&lt;30,"Young Adult")</f>
        <v>Senior</v>
      </c>
      <c r="K294" s="4">
        <v>51</v>
      </c>
      <c r="L294" s="4" t="s">
        <v>8</v>
      </c>
      <c r="M294" s="4">
        <v>3</v>
      </c>
      <c r="N294" s="22">
        <v>30</v>
      </c>
      <c r="O294" s="24">
        <f>M294 * N294</f>
        <v>90</v>
      </c>
      <c r="P294" s="16">
        <f>O294 * $S$3</f>
        <v>1.3499999999999999</v>
      </c>
      <c r="Q294" s="16">
        <f>O294 * $S$4</f>
        <v>1.8</v>
      </c>
    </row>
    <row r="295" spans="1:17">
      <c r="A295" s="2">
        <v>294</v>
      </c>
      <c r="B295" s="4">
        <f t="shared" si="20"/>
        <v>27</v>
      </c>
      <c r="C295" s="4">
        <f t="shared" si="21"/>
        <v>3</v>
      </c>
      <c r="D295" s="4">
        <f t="shared" si="22"/>
        <v>2023</v>
      </c>
      <c r="E295" s="4" t="str">
        <f t="shared" si="23"/>
        <v>Mon</v>
      </c>
      <c r="F295" s="4" t="str">
        <f t="shared" si="24"/>
        <v>Mar</v>
      </c>
      <c r="G295" s="3">
        <v>45012</v>
      </c>
      <c r="H295" s="4" t="s">
        <v>536</v>
      </c>
      <c r="I295" s="4" t="s">
        <v>3</v>
      </c>
      <c r="J295" s="4" t="str" cm="1">
        <f t="array" ref="J295">_xlfn.IFS(K295&gt;=50, "Senior", K295&gt;=30, "Adult", K295&lt;30,"Young Adult")</f>
        <v>Senior</v>
      </c>
      <c r="K295" s="4">
        <v>51</v>
      </c>
      <c r="L295" s="4" t="s">
        <v>7</v>
      </c>
      <c r="M295" s="4">
        <v>3</v>
      </c>
      <c r="N295" s="22">
        <v>30</v>
      </c>
      <c r="O295" s="24">
        <f>M295 * N295</f>
        <v>90</v>
      </c>
      <c r="P295" s="16">
        <f>O295 * $S$3</f>
        <v>1.3499999999999999</v>
      </c>
      <c r="Q295" s="16">
        <f>O295 * $S$4</f>
        <v>1.8</v>
      </c>
    </row>
    <row r="296" spans="1:17">
      <c r="A296" s="2">
        <v>295</v>
      </c>
      <c r="B296" s="4">
        <f t="shared" si="20"/>
        <v>28</v>
      </c>
      <c r="C296" s="4">
        <f t="shared" si="21"/>
        <v>7</v>
      </c>
      <c r="D296" s="4">
        <f t="shared" si="22"/>
        <v>2023</v>
      </c>
      <c r="E296" s="4" t="str">
        <f t="shared" si="23"/>
        <v>Fri</v>
      </c>
      <c r="F296" s="4" t="str">
        <f t="shared" si="24"/>
        <v>Jul</v>
      </c>
      <c r="G296" s="3">
        <v>45135</v>
      </c>
      <c r="H296" s="4" t="s">
        <v>537</v>
      </c>
      <c r="I296" s="4" t="s">
        <v>3</v>
      </c>
      <c r="J296" s="4" t="str" cm="1">
        <f t="array" ref="J296">_xlfn.IFS(K296&gt;=50, "Senior", K296&gt;=30, "Adult", K296&lt;30,"Young Adult")</f>
        <v>Senior</v>
      </c>
      <c r="K296" s="4">
        <v>51</v>
      </c>
      <c r="L296" s="4" t="s">
        <v>6</v>
      </c>
      <c r="M296" s="4">
        <v>3</v>
      </c>
      <c r="N296" s="22">
        <v>300</v>
      </c>
      <c r="O296" s="24">
        <f>M296 * N296</f>
        <v>900</v>
      </c>
      <c r="P296" s="16">
        <f>O296 * $S$3</f>
        <v>13.5</v>
      </c>
      <c r="Q296" s="16">
        <f>O296 * $S$4</f>
        <v>18</v>
      </c>
    </row>
    <row r="297" spans="1:17">
      <c r="A297" s="2">
        <v>296</v>
      </c>
      <c r="B297" s="4">
        <f t="shared" si="20"/>
        <v>6</v>
      </c>
      <c r="C297" s="4">
        <f t="shared" si="21"/>
        <v>9</v>
      </c>
      <c r="D297" s="4">
        <f t="shared" si="22"/>
        <v>2023</v>
      </c>
      <c r="E297" s="4" t="str">
        <f t="shared" si="23"/>
        <v>Wed</v>
      </c>
      <c r="F297" s="4" t="str">
        <f t="shared" si="24"/>
        <v>Sep</v>
      </c>
      <c r="G297" s="3">
        <v>45175</v>
      </c>
      <c r="H297" s="4" t="s">
        <v>538</v>
      </c>
      <c r="I297" s="4" t="s">
        <v>3</v>
      </c>
      <c r="J297" s="4" t="str" cm="1">
        <f t="array" ref="J297">_xlfn.IFS(K297&gt;=50, "Senior", K297&gt;=30, "Adult", K297&lt;30,"Young Adult")</f>
        <v>Senior</v>
      </c>
      <c r="K297" s="4">
        <v>51</v>
      </c>
      <c r="L297" s="4" t="s">
        <v>7</v>
      </c>
      <c r="M297" s="4">
        <v>4</v>
      </c>
      <c r="N297" s="22">
        <v>300</v>
      </c>
      <c r="O297" s="24">
        <f>M297 * N297</f>
        <v>1200</v>
      </c>
      <c r="P297" s="16">
        <f>O297 * $S$3</f>
        <v>18</v>
      </c>
      <c r="Q297" s="16">
        <f>O297 * $S$4</f>
        <v>24</v>
      </c>
    </row>
    <row r="298" spans="1:17">
      <c r="A298" s="2">
        <v>297</v>
      </c>
      <c r="B298" s="4">
        <f t="shared" si="20"/>
        <v>4</v>
      </c>
      <c r="C298" s="4">
        <f t="shared" si="21"/>
        <v>9</v>
      </c>
      <c r="D298" s="4">
        <f t="shared" si="22"/>
        <v>2023</v>
      </c>
      <c r="E298" s="4" t="str">
        <f t="shared" si="23"/>
        <v>Mon</v>
      </c>
      <c r="F298" s="4" t="str">
        <f t="shared" si="24"/>
        <v>Sep</v>
      </c>
      <c r="G298" s="3">
        <v>45173</v>
      </c>
      <c r="H298" s="4" t="s">
        <v>539</v>
      </c>
      <c r="I298" s="4" t="s">
        <v>3</v>
      </c>
      <c r="J298" s="4" t="str" cm="1">
        <f t="array" ref="J298">_xlfn.IFS(K298&gt;=50, "Senior", K298&gt;=30, "Adult", K298&lt;30,"Young Adult")</f>
        <v>Senior</v>
      </c>
      <c r="K298" s="4">
        <v>51</v>
      </c>
      <c r="L298" s="4" t="s">
        <v>8</v>
      </c>
      <c r="M298" s="4">
        <v>2</v>
      </c>
      <c r="N298" s="22">
        <v>500</v>
      </c>
      <c r="O298" s="24">
        <f>M298 * N298</f>
        <v>1000</v>
      </c>
      <c r="P298" s="16">
        <f>O298 * $S$3</f>
        <v>15</v>
      </c>
      <c r="Q298" s="16">
        <f>O298 * $S$4</f>
        <v>20</v>
      </c>
    </row>
    <row r="299" spans="1:17">
      <c r="A299" s="2">
        <v>298</v>
      </c>
      <c r="B299" s="4">
        <f t="shared" si="20"/>
        <v>20</v>
      </c>
      <c r="C299" s="4">
        <f t="shared" si="21"/>
        <v>4</v>
      </c>
      <c r="D299" s="4">
        <f t="shared" si="22"/>
        <v>2023</v>
      </c>
      <c r="E299" s="4" t="str">
        <f t="shared" si="23"/>
        <v>Thu</v>
      </c>
      <c r="F299" s="4" t="str">
        <f t="shared" si="24"/>
        <v>Apr</v>
      </c>
      <c r="G299" s="3">
        <v>45036</v>
      </c>
      <c r="H299" s="4" t="s">
        <v>540</v>
      </c>
      <c r="I299" s="4" t="s">
        <v>4</v>
      </c>
      <c r="J299" s="4" t="str" cm="1">
        <f t="array" ref="J299">_xlfn.IFS(K299&gt;=50, "Senior", K299&gt;=30, "Adult", K299&lt;30,"Young Adult")</f>
        <v>Senior</v>
      </c>
      <c r="K299" s="4">
        <v>51</v>
      </c>
      <c r="L299" s="4" t="s">
        <v>6</v>
      </c>
      <c r="M299" s="4">
        <v>4</v>
      </c>
      <c r="N299" s="22">
        <v>300</v>
      </c>
      <c r="O299" s="24">
        <f>M299 * N299</f>
        <v>1200</v>
      </c>
      <c r="P299" s="16">
        <f>O299 * $S$3</f>
        <v>18</v>
      </c>
      <c r="Q299" s="16">
        <f>O299 * $S$4</f>
        <v>24</v>
      </c>
    </row>
    <row r="300" spans="1:17">
      <c r="A300" s="2">
        <v>299</v>
      </c>
      <c r="B300" s="4">
        <f t="shared" si="20"/>
        <v>25</v>
      </c>
      <c r="C300" s="4">
        <f t="shared" si="21"/>
        <v>7</v>
      </c>
      <c r="D300" s="4">
        <f t="shared" si="22"/>
        <v>2023</v>
      </c>
      <c r="E300" s="4" t="str">
        <f t="shared" si="23"/>
        <v>Tue</v>
      </c>
      <c r="F300" s="4" t="str">
        <f t="shared" si="24"/>
        <v>Jul</v>
      </c>
      <c r="G300" s="3">
        <v>45132</v>
      </c>
      <c r="H300" s="4" t="s">
        <v>541</v>
      </c>
      <c r="I300" s="4" t="s">
        <v>4</v>
      </c>
      <c r="J300" s="4" t="str" cm="1">
        <f t="array" ref="J300">_xlfn.IFS(K300&gt;=50, "Senior", K300&gt;=30, "Adult", K300&lt;30,"Young Adult")</f>
        <v>Senior</v>
      </c>
      <c r="K300" s="4">
        <v>51</v>
      </c>
      <c r="L300" s="4" t="s">
        <v>8</v>
      </c>
      <c r="M300" s="4">
        <v>2</v>
      </c>
      <c r="N300" s="22">
        <v>500</v>
      </c>
      <c r="O300" s="24">
        <f>M300 * N300</f>
        <v>1000</v>
      </c>
      <c r="P300" s="16">
        <f>O300 * $S$3</f>
        <v>15</v>
      </c>
      <c r="Q300" s="16">
        <f>O300 * $S$4</f>
        <v>20</v>
      </c>
    </row>
    <row r="301" spans="1:17">
      <c r="A301" s="2">
        <v>300</v>
      </c>
      <c r="B301" s="4">
        <f t="shared" si="20"/>
        <v>31</v>
      </c>
      <c r="C301" s="4">
        <f t="shared" si="21"/>
        <v>1</v>
      </c>
      <c r="D301" s="4">
        <f t="shared" si="22"/>
        <v>2023</v>
      </c>
      <c r="E301" s="4" t="str">
        <f t="shared" si="23"/>
        <v>Tue</v>
      </c>
      <c r="F301" s="4" t="str">
        <f t="shared" si="24"/>
        <v>Jan</v>
      </c>
      <c r="G301" s="3">
        <v>44957</v>
      </c>
      <c r="H301" s="4" t="s">
        <v>542</v>
      </c>
      <c r="I301" s="4" t="s">
        <v>3</v>
      </c>
      <c r="J301" s="4" t="str" cm="1">
        <f t="array" ref="J301">_xlfn.IFS(K301&gt;=50, "Senior", K301&gt;=30, "Adult", K301&lt;30,"Young Adult")</f>
        <v>Senior</v>
      </c>
      <c r="K301" s="4">
        <v>51</v>
      </c>
      <c r="L301" s="4" t="s">
        <v>8</v>
      </c>
      <c r="M301" s="4">
        <v>4</v>
      </c>
      <c r="N301" s="22">
        <v>50</v>
      </c>
      <c r="O301" s="24">
        <f>M301 * N301</f>
        <v>200</v>
      </c>
      <c r="P301" s="16">
        <f>O301 * $S$3</f>
        <v>3</v>
      </c>
      <c r="Q301" s="16">
        <f>O301 * $S$4</f>
        <v>4</v>
      </c>
    </row>
    <row r="302" spans="1:17">
      <c r="A302" s="2">
        <v>301</v>
      </c>
      <c r="B302" s="4">
        <f t="shared" si="20"/>
        <v>26</v>
      </c>
      <c r="C302" s="4">
        <f t="shared" si="21"/>
        <v>3</v>
      </c>
      <c r="D302" s="4">
        <f t="shared" si="22"/>
        <v>2023</v>
      </c>
      <c r="E302" s="4" t="str">
        <f t="shared" si="23"/>
        <v>Sun</v>
      </c>
      <c r="F302" s="4" t="str">
        <f t="shared" si="24"/>
        <v>Mar</v>
      </c>
      <c r="G302" s="3">
        <v>45011</v>
      </c>
      <c r="H302" s="4" t="s">
        <v>292</v>
      </c>
      <c r="I302" s="4" t="s">
        <v>4</v>
      </c>
      <c r="J302" s="4" t="str" cm="1">
        <f t="array" ref="J302">_xlfn.IFS(K302&gt;=50, "Senior", K302&gt;=30, "Adult", K302&lt;30,"Young Adult")</f>
        <v>Senior</v>
      </c>
      <c r="K302" s="4">
        <v>51</v>
      </c>
      <c r="L302" s="4" t="s">
        <v>7</v>
      </c>
      <c r="M302" s="4">
        <v>4</v>
      </c>
      <c r="N302" s="22">
        <v>30</v>
      </c>
      <c r="O302" s="24">
        <f>M302 * N302</f>
        <v>120</v>
      </c>
      <c r="P302" s="16">
        <f>O302 * $S$3</f>
        <v>1.7999999999999998</v>
      </c>
      <c r="Q302" s="16">
        <f>O302 * $S$4</f>
        <v>2.4</v>
      </c>
    </row>
    <row r="303" spans="1:17">
      <c r="A303" s="2">
        <v>302</v>
      </c>
      <c r="B303" s="4">
        <f t="shared" si="20"/>
        <v>14</v>
      </c>
      <c r="C303" s="4">
        <f t="shared" si="21"/>
        <v>7</v>
      </c>
      <c r="D303" s="4">
        <f t="shared" si="22"/>
        <v>2023</v>
      </c>
      <c r="E303" s="4" t="str">
        <f t="shared" si="23"/>
        <v>Fri</v>
      </c>
      <c r="F303" s="4" t="str">
        <f t="shared" si="24"/>
        <v>Jul</v>
      </c>
      <c r="G303" s="3">
        <v>45121</v>
      </c>
      <c r="H303" s="4" t="s">
        <v>543</v>
      </c>
      <c r="I303" s="4" t="s">
        <v>4</v>
      </c>
      <c r="J303" s="4" t="str" cm="1">
        <f t="array" ref="J303">_xlfn.IFS(K303&gt;=50, "Senior", K303&gt;=30, "Adult", K303&lt;30,"Young Adult")</f>
        <v>Senior</v>
      </c>
      <c r="K303" s="4">
        <v>51</v>
      </c>
      <c r="L303" s="4" t="s">
        <v>6</v>
      </c>
      <c r="M303" s="4">
        <v>2</v>
      </c>
      <c r="N303" s="22">
        <v>300</v>
      </c>
      <c r="O303" s="24">
        <f>M303 * N303</f>
        <v>600</v>
      </c>
      <c r="P303" s="16">
        <f>O303 * $S$3</f>
        <v>9</v>
      </c>
      <c r="Q303" s="16">
        <f>O303 * $S$4</f>
        <v>12</v>
      </c>
    </row>
    <row r="304" spans="1:17">
      <c r="A304" s="2">
        <v>303</v>
      </c>
      <c r="B304" s="4">
        <f t="shared" si="20"/>
        <v>2</v>
      </c>
      <c r="C304" s="4">
        <f t="shared" si="21"/>
        <v>1</v>
      </c>
      <c r="D304" s="4">
        <f t="shared" si="22"/>
        <v>2023</v>
      </c>
      <c r="E304" s="4" t="str">
        <f t="shared" si="23"/>
        <v>Mon</v>
      </c>
      <c r="F304" s="4" t="str">
        <f t="shared" si="24"/>
        <v>Jan</v>
      </c>
      <c r="G304" s="3">
        <v>44928</v>
      </c>
      <c r="H304" s="4" t="s">
        <v>544</v>
      </c>
      <c r="I304" s="4" t="s">
        <v>4</v>
      </c>
      <c r="J304" s="4" t="str" cm="1">
        <f t="array" ref="J304">_xlfn.IFS(K304&gt;=50, "Senior", K304&gt;=30, "Adult", K304&lt;30,"Young Adult")</f>
        <v>Senior</v>
      </c>
      <c r="K304" s="4">
        <v>51</v>
      </c>
      <c r="L304" s="4" t="s">
        <v>8</v>
      </c>
      <c r="M304" s="4">
        <v>3</v>
      </c>
      <c r="N304" s="22">
        <v>30</v>
      </c>
      <c r="O304" s="24">
        <f>M304 * N304</f>
        <v>90</v>
      </c>
      <c r="P304" s="16">
        <f>O304 * $S$3</f>
        <v>1.3499999999999999</v>
      </c>
      <c r="Q304" s="16">
        <f>O304 * $S$4</f>
        <v>1.8</v>
      </c>
    </row>
    <row r="305" spans="1:17">
      <c r="A305" s="2">
        <v>304</v>
      </c>
      <c r="B305" s="4">
        <f t="shared" si="20"/>
        <v>19</v>
      </c>
      <c r="C305" s="4">
        <f t="shared" si="21"/>
        <v>7</v>
      </c>
      <c r="D305" s="4">
        <f t="shared" si="22"/>
        <v>2023</v>
      </c>
      <c r="E305" s="4" t="str">
        <f t="shared" si="23"/>
        <v>Wed</v>
      </c>
      <c r="F305" s="4" t="str">
        <f t="shared" si="24"/>
        <v>Jul</v>
      </c>
      <c r="G305" s="3">
        <v>45126</v>
      </c>
      <c r="H305" s="4" t="s">
        <v>545</v>
      </c>
      <c r="I305" s="4" t="s">
        <v>3</v>
      </c>
      <c r="J305" s="4" t="str" cm="1">
        <f t="array" ref="J305">_xlfn.IFS(K305&gt;=50, "Senior", K305&gt;=30, "Adult", K305&lt;30,"Young Adult")</f>
        <v>Senior</v>
      </c>
      <c r="K305" s="4">
        <v>51</v>
      </c>
      <c r="L305" s="4" t="s">
        <v>8</v>
      </c>
      <c r="M305" s="4">
        <v>2</v>
      </c>
      <c r="N305" s="22">
        <v>30</v>
      </c>
      <c r="O305" s="24">
        <f>M305 * N305</f>
        <v>60</v>
      </c>
      <c r="P305" s="16">
        <f>O305 * $S$3</f>
        <v>0.89999999999999991</v>
      </c>
      <c r="Q305" s="16">
        <f>O305 * $S$4</f>
        <v>1.2</v>
      </c>
    </row>
    <row r="306" spans="1:17">
      <c r="A306" s="2">
        <v>305</v>
      </c>
      <c r="B306" s="4">
        <f t="shared" si="20"/>
        <v>16</v>
      </c>
      <c r="C306" s="4">
        <f t="shared" si="21"/>
        <v>5</v>
      </c>
      <c r="D306" s="4">
        <f t="shared" si="22"/>
        <v>2023</v>
      </c>
      <c r="E306" s="4" t="str">
        <f t="shared" si="23"/>
        <v>Tue</v>
      </c>
      <c r="F306" s="4" t="str">
        <f t="shared" si="24"/>
        <v>May</v>
      </c>
      <c r="G306" s="3">
        <v>45062</v>
      </c>
      <c r="H306" s="4" t="s">
        <v>546</v>
      </c>
      <c r="I306" s="4" t="s">
        <v>3</v>
      </c>
      <c r="J306" s="4" t="str" cm="1">
        <f t="array" ref="J306">_xlfn.IFS(K306&gt;=50, "Senior", K306&gt;=30, "Adult", K306&lt;30,"Young Adult")</f>
        <v>Senior</v>
      </c>
      <c r="K306" s="4">
        <v>51</v>
      </c>
      <c r="L306" s="4" t="s">
        <v>6</v>
      </c>
      <c r="M306" s="4">
        <v>1</v>
      </c>
      <c r="N306" s="22">
        <v>30</v>
      </c>
      <c r="O306" s="24">
        <f>M306 * N306</f>
        <v>30</v>
      </c>
      <c r="P306" s="16">
        <f>O306 * $S$3</f>
        <v>0.44999999999999996</v>
      </c>
      <c r="Q306" s="16">
        <f>O306 * $S$4</f>
        <v>0.6</v>
      </c>
    </row>
    <row r="307" spans="1:17">
      <c r="A307" s="2">
        <v>306</v>
      </c>
      <c r="B307" s="4">
        <f t="shared" si="20"/>
        <v>21</v>
      </c>
      <c r="C307" s="4">
        <f t="shared" si="21"/>
        <v>8</v>
      </c>
      <c r="D307" s="4">
        <f t="shared" si="22"/>
        <v>2023</v>
      </c>
      <c r="E307" s="4" t="str">
        <f t="shared" si="23"/>
        <v>Mon</v>
      </c>
      <c r="F307" s="4" t="str">
        <f t="shared" si="24"/>
        <v>Aug</v>
      </c>
      <c r="G307" s="3">
        <v>45159</v>
      </c>
      <c r="H307" s="4" t="s">
        <v>547</v>
      </c>
      <c r="I307" s="4" t="s">
        <v>4</v>
      </c>
      <c r="J307" s="4" t="str" cm="1">
        <f t="array" ref="J307">_xlfn.IFS(K307&gt;=50, "Senior", K307&gt;=30, "Adult", K307&lt;30,"Young Adult")</f>
        <v>Senior</v>
      </c>
      <c r="K307" s="4">
        <v>51</v>
      </c>
      <c r="L307" s="4" t="s">
        <v>8</v>
      </c>
      <c r="M307" s="4">
        <v>1</v>
      </c>
      <c r="N307" s="22">
        <v>50</v>
      </c>
      <c r="O307" s="24">
        <f>M307 * N307</f>
        <v>50</v>
      </c>
      <c r="P307" s="16">
        <f>O307 * $S$3</f>
        <v>0.75</v>
      </c>
      <c r="Q307" s="16">
        <f>O307 * $S$4</f>
        <v>1</v>
      </c>
    </row>
    <row r="308" spans="1:17">
      <c r="A308" s="2">
        <v>307</v>
      </c>
      <c r="B308" s="4">
        <f t="shared" si="20"/>
        <v>27</v>
      </c>
      <c r="C308" s="4">
        <f t="shared" si="21"/>
        <v>5</v>
      </c>
      <c r="D308" s="4">
        <f t="shared" si="22"/>
        <v>2023</v>
      </c>
      <c r="E308" s="4" t="str">
        <f t="shared" si="23"/>
        <v>Sat</v>
      </c>
      <c r="F308" s="4" t="str">
        <f t="shared" si="24"/>
        <v>May</v>
      </c>
      <c r="G308" s="3">
        <v>45073</v>
      </c>
      <c r="H308" s="4" t="s">
        <v>548</v>
      </c>
      <c r="I308" s="4" t="s">
        <v>3</v>
      </c>
      <c r="J308" s="4" t="str" cm="1">
        <f t="array" ref="J308">_xlfn.IFS(K308&gt;=50, "Senior", K308&gt;=30, "Adult", K308&lt;30,"Young Adult")</f>
        <v>Senior</v>
      </c>
      <c r="K308" s="4">
        <v>51</v>
      </c>
      <c r="L308" s="4" t="s">
        <v>8</v>
      </c>
      <c r="M308" s="4">
        <v>2</v>
      </c>
      <c r="N308" s="22">
        <v>25</v>
      </c>
      <c r="O308" s="24">
        <f>M308 * N308</f>
        <v>50</v>
      </c>
      <c r="P308" s="16">
        <f>O308 * $S$3</f>
        <v>0.75</v>
      </c>
      <c r="Q308" s="16">
        <f>O308 * $S$4</f>
        <v>1</v>
      </c>
    </row>
    <row r="309" spans="1:17">
      <c r="A309" s="2">
        <v>308</v>
      </c>
      <c r="B309" s="4">
        <f t="shared" si="20"/>
        <v>5</v>
      </c>
      <c r="C309" s="4">
        <f t="shared" si="21"/>
        <v>8</v>
      </c>
      <c r="D309" s="4">
        <f t="shared" si="22"/>
        <v>2023</v>
      </c>
      <c r="E309" s="4" t="str">
        <f t="shared" si="23"/>
        <v>Sat</v>
      </c>
      <c r="F309" s="4" t="str">
        <f t="shared" si="24"/>
        <v>Aug</v>
      </c>
      <c r="G309" s="3">
        <v>45143</v>
      </c>
      <c r="H309" s="4" t="s">
        <v>154</v>
      </c>
      <c r="I309" s="4" t="s">
        <v>3</v>
      </c>
      <c r="J309" s="4" t="str" cm="1">
        <f t="array" ref="J309">_xlfn.IFS(K309&gt;=50, "Senior", K309&gt;=30, "Adult", K309&lt;30,"Young Adult")</f>
        <v>Senior</v>
      </c>
      <c r="K309" s="4">
        <v>51</v>
      </c>
      <c r="L309" s="4" t="s">
        <v>6</v>
      </c>
      <c r="M309" s="4">
        <v>4</v>
      </c>
      <c r="N309" s="22">
        <v>300</v>
      </c>
      <c r="O309" s="24">
        <f>M309 * N309</f>
        <v>1200</v>
      </c>
      <c r="P309" s="16">
        <f>O309 * $S$3</f>
        <v>18</v>
      </c>
      <c r="Q309" s="16">
        <f>O309 * $S$4</f>
        <v>24</v>
      </c>
    </row>
    <row r="310" spans="1:17">
      <c r="A310" s="2">
        <v>309</v>
      </c>
      <c r="B310" s="4">
        <f t="shared" si="20"/>
        <v>23</v>
      </c>
      <c r="C310" s="4">
        <f t="shared" si="21"/>
        <v>12</v>
      </c>
      <c r="D310" s="4">
        <f t="shared" si="22"/>
        <v>2023</v>
      </c>
      <c r="E310" s="4" t="str">
        <f t="shared" si="23"/>
        <v>Sat</v>
      </c>
      <c r="F310" s="4" t="str">
        <f t="shared" si="24"/>
        <v>Dec</v>
      </c>
      <c r="G310" s="3">
        <v>45283</v>
      </c>
      <c r="H310" s="4" t="s">
        <v>549</v>
      </c>
      <c r="I310" s="4" t="s">
        <v>3</v>
      </c>
      <c r="J310" s="4" t="str" cm="1">
        <f t="array" ref="J310">_xlfn.IFS(K310&gt;=50, "Senior", K310&gt;=30, "Adult", K310&lt;30,"Young Adult")</f>
        <v>Senior</v>
      </c>
      <c r="K310" s="4">
        <v>51</v>
      </c>
      <c r="L310" s="4" t="s">
        <v>6</v>
      </c>
      <c r="M310" s="4">
        <v>1</v>
      </c>
      <c r="N310" s="22">
        <v>25</v>
      </c>
      <c r="O310" s="24">
        <f>M310 * N310</f>
        <v>25</v>
      </c>
      <c r="P310" s="16">
        <f>O310 * $S$3</f>
        <v>0.375</v>
      </c>
      <c r="Q310" s="16">
        <f>O310 * $S$4</f>
        <v>0.5</v>
      </c>
    </row>
    <row r="311" spans="1:17">
      <c r="A311" s="2">
        <v>310</v>
      </c>
      <c r="B311" s="4">
        <f t="shared" si="20"/>
        <v>12</v>
      </c>
      <c r="C311" s="4">
        <f t="shared" si="21"/>
        <v>10</v>
      </c>
      <c r="D311" s="4">
        <f t="shared" si="22"/>
        <v>2023</v>
      </c>
      <c r="E311" s="4" t="str">
        <f t="shared" si="23"/>
        <v>Thu</v>
      </c>
      <c r="F311" s="4" t="str">
        <f t="shared" si="24"/>
        <v>Oct</v>
      </c>
      <c r="G311" s="3">
        <v>45211</v>
      </c>
      <c r="H311" s="4" t="s">
        <v>550</v>
      </c>
      <c r="I311" s="4" t="s">
        <v>3</v>
      </c>
      <c r="J311" s="4" t="str" cm="1">
        <f t="array" ref="J311">_xlfn.IFS(K311&gt;=50, "Senior", K311&gt;=30, "Adult", K311&lt;30,"Young Adult")</f>
        <v>Senior</v>
      </c>
      <c r="K311" s="4">
        <v>51</v>
      </c>
      <c r="L311" s="4" t="s">
        <v>6</v>
      </c>
      <c r="M311" s="4">
        <v>1</v>
      </c>
      <c r="N311" s="22">
        <v>25</v>
      </c>
      <c r="O311" s="24">
        <f>M311 * N311</f>
        <v>25</v>
      </c>
      <c r="P311" s="16">
        <f>O311 * $S$3</f>
        <v>0.375</v>
      </c>
      <c r="Q311" s="16">
        <f>O311 * $S$4</f>
        <v>0.5</v>
      </c>
    </row>
    <row r="312" spans="1:17">
      <c r="A312" s="2">
        <v>311</v>
      </c>
      <c r="B312" s="4">
        <f t="shared" si="20"/>
        <v>5</v>
      </c>
      <c r="C312" s="4">
        <f t="shared" si="21"/>
        <v>12</v>
      </c>
      <c r="D312" s="4">
        <f t="shared" si="22"/>
        <v>2023</v>
      </c>
      <c r="E312" s="4" t="str">
        <f t="shared" si="23"/>
        <v>Tue</v>
      </c>
      <c r="F312" s="4" t="str">
        <f t="shared" si="24"/>
        <v>Dec</v>
      </c>
      <c r="G312" s="3">
        <v>45265</v>
      </c>
      <c r="H312" s="4" t="s">
        <v>153</v>
      </c>
      <c r="I312" s="4" t="s">
        <v>3</v>
      </c>
      <c r="J312" s="4" t="str" cm="1">
        <f t="array" ref="J312">_xlfn.IFS(K312&gt;=50, "Senior", K312&gt;=30, "Adult", K312&lt;30,"Young Adult")</f>
        <v>Senior</v>
      </c>
      <c r="K312" s="4">
        <v>51</v>
      </c>
      <c r="L312" s="4" t="s">
        <v>6</v>
      </c>
      <c r="M312" s="4">
        <v>4</v>
      </c>
      <c r="N312" s="22">
        <v>25</v>
      </c>
      <c r="O312" s="24">
        <f>M312 * N312</f>
        <v>100</v>
      </c>
      <c r="P312" s="16">
        <f>O312 * $S$3</f>
        <v>1.5</v>
      </c>
      <c r="Q312" s="16">
        <f>O312 * $S$4</f>
        <v>2</v>
      </c>
    </row>
    <row r="313" spans="1:17">
      <c r="A313" s="2">
        <v>312</v>
      </c>
      <c r="B313" s="4">
        <f t="shared" si="20"/>
        <v>7</v>
      </c>
      <c r="C313" s="4">
        <f t="shared" si="21"/>
        <v>9</v>
      </c>
      <c r="D313" s="4">
        <f t="shared" si="22"/>
        <v>2023</v>
      </c>
      <c r="E313" s="4" t="str">
        <f t="shared" si="23"/>
        <v>Thu</v>
      </c>
      <c r="F313" s="4" t="str">
        <f t="shared" si="24"/>
        <v>Sep</v>
      </c>
      <c r="G313" s="3">
        <v>45176</v>
      </c>
      <c r="H313" s="4" t="s">
        <v>291</v>
      </c>
      <c r="I313" s="4" t="s">
        <v>4</v>
      </c>
      <c r="J313" s="4" t="str" cm="1">
        <f t="array" ref="J313">_xlfn.IFS(K313&gt;=50, "Senior", K313&gt;=30, "Adult", K313&lt;30,"Young Adult")</f>
        <v>Senior</v>
      </c>
      <c r="K313" s="4">
        <v>51</v>
      </c>
      <c r="L313" s="4" t="s">
        <v>7</v>
      </c>
      <c r="M313" s="4">
        <v>4</v>
      </c>
      <c r="N313" s="22">
        <v>30</v>
      </c>
      <c r="O313" s="24">
        <f>M313 * N313</f>
        <v>120</v>
      </c>
      <c r="P313" s="16">
        <f>O313 * $S$3</f>
        <v>1.7999999999999998</v>
      </c>
      <c r="Q313" s="16">
        <f>O313 * $S$4</f>
        <v>2.4</v>
      </c>
    </row>
    <row r="314" spans="1:17">
      <c r="A314" s="2">
        <v>313</v>
      </c>
      <c r="B314" s="4">
        <f t="shared" si="20"/>
        <v>21</v>
      </c>
      <c r="C314" s="4">
        <f t="shared" si="21"/>
        <v>3</v>
      </c>
      <c r="D314" s="4">
        <f t="shared" si="22"/>
        <v>2023</v>
      </c>
      <c r="E314" s="4" t="str">
        <f t="shared" si="23"/>
        <v>Tue</v>
      </c>
      <c r="F314" s="4" t="str">
        <f t="shared" si="24"/>
        <v>Mar</v>
      </c>
      <c r="G314" s="3">
        <v>45006</v>
      </c>
      <c r="H314" s="4" t="s">
        <v>551</v>
      </c>
      <c r="I314" s="4" t="s">
        <v>3</v>
      </c>
      <c r="J314" s="4" t="str" cm="1">
        <f t="array" ref="J314">_xlfn.IFS(K314&gt;=50, "Senior", K314&gt;=30, "Adult", K314&lt;30,"Young Adult")</f>
        <v>Senior</v>
      </c>
      <c r="K314" s="4">
        <v>51</v>
      </c>
      <c r="L314" s="4" t="s">
        <v>6</v>
      </c>
      <c r="M314" s="4">
        <v>3</v>
      </c>
      <c r="N314" s="22">
        <v>500</v>
      </c>
      <c r="O314" s="24">
        <f>M314 * N314</f>
        <v>1500</v>
      </c>
      <c r="P314" s="16">
        <f>O314 * $S$3</f>
        <v>22.5</v>
      </c>
      <c r="Q314" s="16">
        <f>O314 * $S$4</f>
        <v>30</v>
      </c>
    </row>
    <row r="315" spans="1:17">
      <c r="A315" s="2">
        <v>314</v>
      </c>
      <c r="B315" s="4">
        <f t="shared" si="20"/>
        <v>8</v>
      </c>
      <c r="C315" s="4">
        <f t="shared" si="21"/>
        <v>4</v>
      </c>
      <c r="D315" s="4">
        <f t="shared" si="22"/>
        <v>2023</v>
      </c>
      <c r="E315" s="4" t="str">
        <f t="shared" si="23"/>
        <v>Sat</v>
      </c>
      <c r="F315" s="4" t="str">
        <f t="shared" si="24"/>
        <v>Apr</v>
      </c>
      <c r="G315" s="3">
        <v>45024</v>
      </c>
      <c r="H315" s="4" t="s">
        <v>552</v>
      </c>
      <c r="I315" s="4" t="s">
        <v>4</v>
      </c>
      <c r="J315" s="4" t="str" cm="1">
        <f t="array" ref="J315">_xlfn.IFS(K315&gt;=50, "Senior", K315&gt;=30, "Adult", K315&lt;30,"Young Adult")</f>
        <v>Senior</v>
      </c>
      <c r="K315" s="4">
        <v>50</v>
      </c>
      <c r="L315" s="4" t="s">
        <v>7</v>
      </c>
      <c r="M315" s="4">
        <v>4</v>
      </c>
      <c r="N315" s="22">
        <v>30</v>
      </c>
      <c r="O315" s="24">
        <f>M315 * N315</f>
        <v>120</v>
      </c>
      <c r="P315" s="16">
        <f>O315 * $S$3</f>
        <v>1.7999999999999998</v>
      </c>
      <c r="Q315" s="16">
        <f>O315 * $S$4</f>
        <v>2.4</v>
      </c>
    </row>
    <row r="316" spans="1:17">
      <c r="A316" s="2">
        <v>315</v>
      </c>
      <c r="B316" s="4">
        <f t="shared" si="20"/>
        <v>1</v>
      </c>
      <c r="C316" s="4">
        <f t="shared" si="21"/>
        <v>6</v>
      </c>
      <c r="D316" s="4">
        <f t="shared" si="22"/>
        <v>2023</v>
      </c>
      <c r="E316" s="4" t="str">
        <f t="shared" si="23"/>
        <v>Thu</v>
      </c>
      <c r="F316" s="4" t="str">
        <f t="shared" si="24"/>
        <v>Jun</v>
      </c>
      <c r="G316" s="3">
        <v>45078</v>
      </c>
      <c r="H316" s="4" t="s">
        <v>290</v>
      </c>
      <c r="I316" s="4" t="s">
        <v>4</v>
      </c>
      <c r="J316" s="4" t="str" cm="1">
        <f t="array" ref="J316">_xlfn.IFS(K316&gt;=50, "Senior", K316&gt;=30, "Adult", K316&lt;30,"Young Adult")</f>
        <v>Senior</v>
      </c>
      <c r="K316" s="4">
        <v>50</v>
      </c>
      <c r="L316" s="4" t="s">
        <v>7</v>
      </c>
      <c r="M316" s="4">
        <v>2</v>
      </c>
      <c r="N316" s="22">
        <v>30</v>
      </c>
      <c r="O316" s="24">
        <f>M316 * N316</f>
        <v>60</v>
      </c>
      <c r="P316" s="16">
        <f>O316 * $S$3</f>
        <v>0.89999999999999991</v>
      </c>
      <c r="Q316" s="16">
        <f>O316 * $S$4</f>
        <v>1.2</v>
      </c>
    </row>
    <row r="317" spans="1:17">
      <c r="A317" s="2">
        <v>316</v>
      </c>
      <c r="B317" s="4">
        <f t="shared" si="20"/>
        <v>22</v>
      </c>
      <c r="C317" s="4">
        <f t="shared" si="21"/>
        <v>4</v>
      </c>
      <c r="D317" s="4">
        <f t="shared" si="22"/>
        <v>2023</v>
      </c>
      <c r="E317" s="4" t="str">
        <f t="shared" si="23"/>
        <v>Sat</v>
      </c>
      <c r="F317" s="4" t="str">
        <f t="shared" si="24"/>
        <v>Apr</v>
      </c>
      <c r="G317" s="3">
        <v>45038</v>
      </c>
      <c r="H317" s="4" t="s">
        <v>289</v>
      </c>
      <c r="I317" s="4" t="s">
        <v>3</v>
      </c>
      <c r="J317" s="4" t="str" cm="1">
        <f t="array" ref="J317">_xlfn.IFS(K317&gt;=50, "Senior", K317&gt;=30, "Adult", K317&lt;30,"Young Adult")</f>
        <v>Senior</v>
      </c>
      <c r="K317" s="4">
        <v>50</v>
      </c>
      <c r="L317" s="4" t="s">
        <v>7</v>
      </c>
      <c r="M317" s="4">
        <v>2</v>
      </c>
      <c r="N317" s="22">
        <v>25</v>
      </c>
      <c r="O317" s="24">
        <f>M317 * N317</f>
        <v>50</v>
      </c>
      <c r="P317" s="16">
        <f>O317 * $S$3</f>
        <v>0.75</v>
      </c>
      <c r="Q317" s="16">
        <f>O317 * $S$4</f>
        <v>1</v>
      </c>
    </row>
    <row r="318" spans="1:17">
      <c r="A318" s="2">
        <v>317</v>
      </c>
      <c r="B318" s="4">
        <f t="shared" si="20"/>
        <v>30</v>
      </c>
      <c r="C318" s="4">
        <f t="shared" si="21"/>
        <v>1</v>
      </c>
      <c r="D318" s="4">
        <f t="shared" si="22"/>
        <v>2023</v>
      </c>
      <c r="E318" s="4" t="str">
        <f t="shared" si="23"/>
        <v>Mon</v>
      </c>
      <c r="F318" s="4" t="str">
        <f t="shared" si="24"/>
        <v>Jan</v>
      </c>
      <c r="G318" s="3">
        <v>44956</v>
      </c>
      <c r="H318" s="4" t="s">
        <v>553</v>
      </c>
      <c r="I318" s="4" t="s">
        <v>4</v>
      </c>
      <c r="J318" s="4" t="str" cm="1">
        <f t="array" ref="J318">_xlfn.IFS(K318&gt;=50, "Senior", K318&gt;=30, "Adult", K318&lt;30,"Young Adult")</f>
        <v>Senior</v>
      </c>
      <c r="K318" s="4">
        <v>50</v>
      </c>
      <c r="L318" s="4" t="s">
        <v>8</v>
      </c>
      <c r="M318" s="4">
        <v>3</v>
      </c>
      <c r="N318" s="22">
        <v>30</v>
      </c>
      <c r="O318" s="24">
        <f>M318 * N318</f>
        <v>90</v>
      </c>
      <c r="P318" s="16">
        <f>O318 * $S$3</f>
        <v>1.3499999999999999</v>
      </c>
      <c r="Q318" s="16">
        <f>O318 * $S$4</f>
        <v>1.8</v>
      </c>
    </row>
    <row r="319" spans="1:17">
      <c r="A319" s="2">
        <v>318</v>
      </c>
      <c r="B319" s="4">
        <f t="shared" si="20"/>
        <v>24</v>
      </c>
      <c r="C319" s="4">
        <f t="shared" si="21"/>
        <v>10</v>
      </c>
      <c r="D319" s="4">
        <f t="shared" si="22"/>
        <v>2023</v>
      </c>
      <c r="E319" s="4" t="str">
        <f t="shared" si="23"/>
        <v>Tue</v>
      </c>
      <c r="F319" s="4" t="str">
        <f t="shared" si="24"/>
        <v>Oct</v>
      </c>
      <c r="G319" s="3">
        <v>45223</v>
      </c>
      <c r="H319" s="4" t="s">
        <v>554</v>
      </c>
      <c r="I319" s="4" t="s">
        <v>4</v>
      </c>
      <c r="J319" s="4" t="str" cm="1">
        <f t="array" ref="J319">_xlfn.IFS(K319&gt;=50, "Senior", K319&gt;=30, "Adult", K319&lt;30,"Young Adult")</f>
        <v>Senior</v>
      </c>
      <c r="K319" s="4">
        <v>50</v>
      </c>
      <c r="L319" s="4" t="s">
        <v>7</v>
      </c>
      <c r="M319" s="4">
        <v>1</v>
      </c>
      <c r="N319" s="22">
        <v>25</v>
      </c>
      <c r="O319" s="24">
        <f>M319 * N319</f>
        <v>25</v>
      </c>
      <c r="P319" s="16">
        <f>O319 * $S$3</f>
        <v>0.375</v>
      </c>
      <c r="Q319" s="16">
        <f>O319 * $S$4</f>
        <v>0.5</v>
      </c>
    </row>
    <row r="320" spans="1:17">
      <c r="A320" s="2">
        <v>319</v>
      </c>
      <c r="B320" s="4">
        <f t="shared" si="20"/>
        <v>5</v>
      </c>
      <c r="C320" s="4">
        <f t="shared" si="21"/>
        <v>10</v>
      </c>
      <c r="D320" s="4">
        <f t="shared" si="22"/>
        <v>2023</v>
      </c>
      <c r="E320" s="4" t="str">
        <f t="shared" si="23"/>
        <v>Thu</v>
      </c>
      <c r="F320" s="4" t="str">
        <f t="shared" si="24"/>
        <v>Oct</v>
      </c>
      <c r="G320" s="3">
        <v>45204</v>
      </c>
      <c r="H320" s="4" t="s">
        <v>288</v>
      </c>
      <c r="I320" s="4" t="s">
        <v>4</v>
      </c>
      <c r="J320" s="4" t="str" cm="1">
        <f t="array" ref="J320">_xlfn.IFS(K320&gt;=50, "Senior", K320&gt;=30, "Adult", K320&lt;30,"Young Adult")</f>
        <v>Senior</v>
      </c>
      <c r="K320" s="4">
        <v>50</v>
      </c>
      <c r="L320" s="4" t="s">
        <v>7</v>
      </c>
      <c r="M320" s="4">
        <v>1</v>
      </c>
      <c r="N320" s="22">
        <v>500</v>
      </c>
      <c r="O320" s="24">
        <f>M320 * N320</f>
        <v>500</v>
      </c>
      <c r="P320" s="16">
        <f>O320 * $S$3</f>
        <v>7.5</v>
      </c>
      <c r="Q320" s="16">
        <f>O320 * $S$4</f>
        <v>10</v>
      </c>
    </row>
    <row r="321" spans="1:17">
      <c r="A321" s="2">
        <v>320</v>
      </c>
      <c r="B321" s="4">
        <f t="shared" si="20"/>
        <v>1</v>
      </c>
      <c r="C321" s="4">
        <f t="shared" si="21"/>
        <v>2</v>
      </c>
      <c r="D321" s="4">
        <f t="shared" si="22"/>
        <v>2023</v>
      </c>
      <c r="E321" s="4" t="str">
        <f t="shared" si="23"/>
        <v>Wed</v>
      </c>
      <c r="F321" s="4" t="str">
        <f t="shared" si="24"/>
        <v>Feb</v>
      </c>
      <c r="G321" s="3">
        <v>44958</v>
      </c>
      <c r="H321" s="4" t="s">
        <v>555</v>
      </c>
      <c r="I321" s="4" t="s">
        <v>3</v>
      </c>
      <c r="J321" s="4" t="str" cm="1">
        <f t="array" ref="J321">_xlfn.IFS(K321&gt;=50, "Senior", K321&gt;=30, "Adult", K321&lt;30,"Young Adult")</f>
        <v>Senior</v>
      </c>
      <c r="K321" s="4">
        <v>50</v>
      </c>
      <c r="L321" s="4" t="s">
        <v>8</v>
      </c>
      <c r="M321" s="4">
        <v>4</v>
      </c>
      <c r="N321" s="22">
        <v>300</v>
      </c>
      <c r="O321" s="24">
        <f>M321 * N321</f>
        <v>1200</v>
      </c>
      <c r="P321" s="16">
        <f>O321 * $S$3</f>
        <v>18</v>
      </c>
      <c r="Q321" s="16">
        <f>O321 * $S$4</f>
        <v>24</v>
      </c>
    </row>
    <row r="322" spans="1:17">
      <c r="A322" s="2">
        <v>321</v>
      </c>
      <c r="B322" s="4">
        <f t="shared" si="20"/>
        <v>10</v>
      </c>
      <c r="C322" s="4">
        <f t="shared" si="21"/>
        <v>6</v>
      </c>
      <c r="D322" s="4">
        <f t="shared" si="22"/>
        <v>2023</v>
      </c>
      <c r="E322" s="4" t="str">
        <f t="shared" si="23"/>
        <v>Sat</v>
      </c>
      <c r="F322" s="4" t="str">
        <f t="shared" si="24"/>
        <v>Jun</v>
      </c>
      <c r="G322" s="3">
        <v>45087</v>
      </c>
      <c r="H322" s="4" t="s">
        <v>556</v>
      </c>
      <c r="I322" s="4" t="s">
        <v>3</v>
      </c>
      <c r="J322" s="4" t="str" cm="1">
        <f t="array" ref="J322">_xlfn.IFS(K322&gt;=50, "Senior", K322&gt;=30, "Adult", K322&lt;30,"Young Adult")</f>
        <v>Senior</v>
      </c>
      <c r="K322" s="4">
        <v>50</v>
      </c>
      <c r="L322" s="4" t="s">
        <v>8</v>
      </c>
      <c r="M322" s="4">
        <v>2</v>
      </c>
      <c r="N322" s="22">
        <v>25</v>
      </c>
      <c r="O322" s="24">
        <f>M322 * N322</f>
        <v>50</v>
      </c>
      <c r="P322" s="16">
        <f>O322 * $S$3</f>
        <v>0.75</v>
      </c>
      <c r="Q322" s="16">
        <f>O322 * $S$4</f>
        <v>1</v>
      </c>
    </row>
    <row r="323" spans="1:17">
      <c r="A323" s="2">
        <v>322</v>
      </c>
      <c r="B323" s="4">
        <f t="shared" ref="B323:B386" si="25">DAY(G323)</f>
        <v>30</v>
      </c>
      <c r="C323" s="4">
        <f t="shared" ref="C323:C386" si="26">MONTH(G323)</f>
        <v>1</v>
      </c>
      <c r="D323" s="4">
        <f t="shared" ref="D323:D386" si="27">YEAR(G323)</f>
        <v>2023</v>
      </c>
      <c r="E323" s="4" t="str">
        <f t="shared" ref="E323:E386" si="28">TEXT(G323,"DDD")</f>
        <v>Mon</v>
      </c>
      <c r="F323" s="4" t="str">
        <f t="shared" ref="F323:F386" si="29">TEXT(G323,"MMM")</f>
        <v>Jan</v>
      </c>
      <c r="G323" s="3">
        <v>44956</v>
      </c>
      <c r="H323" s="4" t="s">
        <v>557</v>
      </c>
      <c r="I323" s="4" t="s">
        <v>4</v>
      </c>
      <c r="J323" s="4" t="str" cm="1">
        <f t="array" ref="J323">_xlfn.IFS(K323&gt;=50, "Senior", K323&gt;=30, "Adult", K323&lt;30,"Young Adult")</f>
        <v>Senior</v>
      </c>
      <c r="K323" s="4">
        <v>50</v>
      </c>
      <c r="L323" s="4" t="s">
        <v>8</v>
      </c>
      <c r="M323" s="4">
        <v>1</v>
      </c>
      <c r="N323" s="22">
        <v>500</v>
      </c>
      <c r="O323" s="24">
        <f>M323 * N323</f>
        <v>500</v>
      </c>
      <c r="P323" s="16">
        <f>O323 * $S$3</f>
        <v>7.5</v>
      </c>
      <c r="Q323" s="16">
        <f>O323 * $S$4</f>
        <v>10</v>
      </c>
    </row>
    <row r="324" spans="1:17">
      <c r="A324" s="2">
        <v>323</v>
      </c>
      <c r="B324" s="4">
        <f t="shared" si="25"/>
        <v>26</v>
      </c>
      <c r="C324" s="4">
        <f t="shared" si="26"/>
        <v>1</v>
      </c>
      <c r="D324" s="4">
        <f t="shared" si="27"/>
        <v>2023</v>
      </c>
      <c r="E324" s="4" t="str">
        <f t="shared" si="28"/>
        <v>Thu</v>
      </c>
      <c r="F324" s="4" t="str">
        <f t="shared" si="29"/>
        <v>Jan</v>
      </c>
      <c r="G324" s="3">
        <v>44952</v>
      </c>
      <c r="H324" s="4" t="s">
        <v>558</v>
      </c>
      <c r="I324" s="4" t="s">
        <v>3</v>
      </c>
      <c r="J324" s="4" t="str" cm="1">
        <f t="array" ref="J324">_xlfn.IFS(K324&gt;=50, "Senior", K324&gt;=30, "Adult", K324&lt;30,"Young Adult")</f>
        <v>Senior</v>
      </c>
      <c r="K324" s="4">
        <v>50</v>
      </c>
      <c r="L324" s="4" t="s">
        <v>6</v>
      </c>
      <c r="M324" s="4">
        <v>3</v>
      </c>
      <c r="N324" s="22">
        <v>300</v>
      </c>
      <c r="O324" s="24">
        <f>M324 * N324</f>
        <v>900</v>
      </c>
      <c r="P324" s="16">
        <f>O324 * $S$3</f>
        <v>13.5</v>
      </c>
      <c r="Q324" s="16">
        <f>O324 * $S$4</f>
        <v>18</v>
      </c>
    </row>
    <row r="325" spans="1:17">
      <c r="A325" s="2">
        <v>324</v>
      </c>
      <c r="B325" s="4">
        <f t="shared" si="25"/>
        <v>27</v>
      </c>
      <c r="C325" s="4">
        <f t="shared" si="26"/>
        <v>10</v>
      </c>
      <c r="D325" s="4">
        <f t="shared" si="27"/>
        <v>2023</v>
      </c>
      <c r="E325" s="4" t="str">
        <f t="shared" si="28"/>
        <v>Fri</v>
      </c>
      <c r="F325" s="4" t="str">
        <f t="shared" si="29"/>
        <v>Oct</v>
      </c>
      <c r="G325" s="3">
        <v>45226</v>
      </c>
      <c r="H325" s="4" t="s">
        <v>559</v>
      </c>
      <c r="I325" s="4" t="s">
        <v>3</v>
      </c>
      <c r="J325" s="4" t="str" cm="1">
        <f t="array" ref="J325">_xlfn.IFS(K325&gt;=50, "Senior", K325&gt;=30, "Adult", K325&lt;30,"Young Adult")</f>
        <v>Senior</v>
      </c>
      <c r="K325" s="4">
        <v>50</v>
      </c>
      <c r="L325" s="4" t="s">
        <v>8</v>
      </c>
      <c r="M325" s="4">
        <v>3</v>
      </c>
      <c r="N325" s="22">
        <v>50</v>
      </c>
      <c r="O325" s="24">
        <f>M325 * N325</f>
        <v>150</v>
      </c>
      <c r="P325" s="16">
        <f>O325 * $S$3</f>
        <v>2.25</v>
      </c>
      <c r="Q325" s="16">
        <f>O325 * $S$4</f>
        <v>3</v>
      </c>
    </row>
    <row r="326" spans="1:17">
      <c r="A326" s="2">
        <v>325</v>
      </c>
      <c r="B326" s="4">
        <f t="shared" si="25"/>
        <v>2</v>
      </c>
      <c r="C326" s="4">
        <f t="shared" si="26"/>
        <v>9</v>
      </c>
      <c r="D326" s="4">
        <f t="shared" si="27"/>
        <v>2023</v>
      </c>
      <c r="E326" s="4" t="str">
        <f t="shared" si="28"/>
        <v>Sat</v>
      </c>
      <c r="F326" s="4" t="str">
        <f t="shared" si="29"/>
        <v>Sep</v>
      </c>
      <c r="G326" s="3">
        <v>45171</v>
      </c>
      <c r="H326" s="4" t="s">
        <v>560</v>
      </c>
      <c r="I326" s="4" t="s">
        <v>3</v>
      </c>
      <c r="J326" s="4" t="str" cm="1">
        <f t="array" ref="J326">_xlfn.IFS(K326&gt;=50, "Senior", K326&gt;=30, "Adult", K326&lt;30,"Young Adult")</f>
        <v>Senior</v>
      </c>
      <c r="K326" s="4">
        <v>50</v>
      </c>
      <c r="L326" s="4" t="s">
        <v>8</v>
      </c>
      <c r="M326" s="4">
        <v>2</v>
      </c>
      <c r="N326" s="22">
        <v>25</v>
      </c>
      <c r="O326" s="24">
        <f>M326 * N326</f>
        <v>50</v>
      </c>
      <c r="P326" s="16">
        <f>O326 * $S$3</f>
        <v>0.75</v>
      </c>
      <c r="Q326" s="16">
        <f>O326 * $S$4</f>
        <v>1</v>
      </c>
    </row>
    <row r="327" spans="1:17">
      <c r="A327" s="2">
        <v>326</v>
      </c>
      <c r="B327" s="4">
        <f t="shared" si="25"/>
        <v>15</v>
      </c>
      <c r="C327" s="4">
        <f t="shared" si="26"/>
        <v>9</v>
      </c>
      <c r="D327" s="4">
        <f t="shared" si="27"/>
        <v>2023</v>
      </c>
      <c r="E327" s="4" t="str">
        <f t="shared" si="28"/>
        <v>Fri</v>
      </c>
      <c r="F327" s="4" t="str">
        <f t="shared" si="29"/>
        <v>Sep</v>
      </c>
      <c r="G327" s="3">
        <v>45184</v>
      </c>
      <c r="H327" s="4" t="s">
        <v>561</v>
      </c>
      <c r="I327" s="4" t="s">
        <v>3</v>
      </c>
      <c r="J327" s="4" t="str" cm="1">
        <f t="array" ref="J327">_xlfn.IFS(K327&gt;=50, "Senior", K327&gt;=30, "Adult", K327&lt;30,"Young Adult")</f>
        <v>Senior</v>
      </c>
      <c r="K327" s="4">
        <v>50</v>
      </c>
      <c r="L327" s="4" t="s">
        <v>7</v>
      </c>
      <c r="M327" s="4">
        <v>3</v>
      </c>
      <c r="N327" s="22">
        <v>25</v>
      </c>
      <c r="O327" s="24">
        <f>M327 * N327</f>
        <v>75</v>
      </c>
      <c r="P327" s="16">
        <f>O327 * $S$3</f>
        <v>1.125</v>
      </c>
      <c r="Q327" s="16">
        <f>O327 * $S$4</f>
        <v>1.5</v>
      </c>
    </row>
    <row r="328" spans="1:17">
      <c r="A328" s="2">
        <v>327</v>
      </c>
      <c r="B328" s="4">
        <f t="shared" si="25"/>
        <v>29</v>
      </c>
      <c r="C328" s="4">
        <f t="shared" si="26"/>
        <v>9</v>
      </c>
      <c r="D328" s="4">
        <f t="shared" si="27"/>
        <v>2023</v>
      </c>
      <c r="E328" s="4" t="str">
        <f t="shared" si="28"/>
        <v>Fri</v>
      </c>
      <c r="F328" s="4" t="str">
        <f t="shared" si="29"/>
        <v>Sep</v>
      </c>
      <c r="G328" s="3">
        <v>45198</v>
      </c>
      <c r="H328" s="4" t="s">
        <v>562</v>
      </c>
      <c r="I328" s="4" t="s">
        <v>4</v>
      </c>
      <c r="J328" s="4" t="str" cm="1">
        <f t="array" ref="J328">_xlfn.IFS(K328&gt;=50, "Senior", K328&gt;=30, "Adult", K328&lt;30,"Young Adult")</f>
        <v>Senior</v>
      </c>
      <c r="K328" s="4">
        <v>50</v>
      </c>
      <c r="L328" s="4" t="s">
        <v>8</v>
      </c>
      <c r="M328" s="4">
        <v>3</v>
      </c>
      <c r="N328" s="22">
        <v>50</v>
      </c>
      <c r="O328" s="24">
        <f>M328 * N328</f>
        <v>150</v>
      </c>
      <c r="P328" s="16">
        <f>O328 * $S$3</f>
        <v>2.25</v>
      </c>
      <c r="Q328" s="16">
        <f>O328 * $S$4</f>
        <v>3</v>
      </c>
    </row>
    <row r="329" spans="1:17">
      <c r="A329" s="2">
        <v>328</v>
      </c>
      <c r="B329" s="4">
        <f t="shared" si="25"/>
        <v>22</v>
      </c>
      <c r="C329" s="4">
        <f t="shared" si="26"/>
        <v>3</v>
      </c>
      <c r="D329" s="4">
        <f t="shared" si="27"/>
        <v>2023</v>
      </c>
      <c r="E329" s="4" t="str">
        <f t="shared" si="28"/>
        <v>Wed</v>
      </c>
      <c r="F329" s="4" t="str">
        <f t="shared" si="29"/>
        <v>Mar</v>
      </c>
      <c r="G329" s="3">
        <v>45007</v>
      </c>
      <c r="H329" s="4" t="s">
        <v>152</v>
      </c>
      <c r="I329" s="4" t="s">
        <v>4</v>
      </c>
      <c r="J329" s="4" t="str" cm="1">
        <f t="array" ref="J329">_xlfn.IFS(K329&gt;=50, "Senior", K329&gt;=30, "Adult", K329&lt;30,"Young Adult")</f>
        <v>Senior</v>
      </c>
      <c r="K329" s="4">
        <v>50</v>
      </c>
      <c r="L329" s="4" t="s">
        <v>6</v>
      </c>
      <c r="M329" s="4">
        <v>2</v>
      </c>
      <c r="N329" s="22">
        <v>50</v>
      </c>
      <c r="O329" s="24">
        <f>M329 * N329</f>
        <v>100</v>
      </c>
      <c r="P329" s="16">
        <f>O329 * $S$3</f>
        <v>1.5</v>
      </c>
      <c r="Q329" s="16">
        <f>O329 * $S$4</f>
        <v>2</v>
      </c>
    </row>
    <row r="330" spans="1:17">
      <c r="A330" s="2">
        <v>329</v>
      </c>
      <c r="B330" s="4">
        <f t="shared" si="25"/>
        <v>30</v>
      </c>
      <c r="C330" s="4">
        <f t="shared" si="26"/>
        <v>1</v>
      </c>
      <c r="D330" s="4">
        <f t="shared" si="27"/>
        <v>2023</v>
      </c>
      <c r="E330" s="4" t="str">
        <f t="shared" si="28"/>
        <v>Mon</v>
      </c>
      <c r="F330" s="4" t="str">
        <f t="shared" si="29"/>
        <v>Jan</v>
      </c>
      <c r="G330" s="3">
        <v>44956</v>
      </c>
      <c r="H330" s="4" t="s">
        <v>563</v>
      </c>
      <c r="I330" s="4" t="s">
        <v>3</v>
      </c>
      <c r="J330" s="4" t="str" cm="1">
        <f t="array" ref="J330">_xlfn.IFS(K330&gt;=50, "Senior", K330&gt;=30, "Adult", K330&lt;30,"Young Adult")</f>
        <v>Senior</v>
      </c>
      <c r="K330" s="4">
        <v>50</v>
      </c>
      <c r="L330" s="4" t="s">
        <v>8</v>
      </c>
      <c r="M330" s="4">
        <v>4</v>
      </c>
      <c r="N330" s="22">
        <v>25</v>
      </c>
      <c r="O330" s="24">
        <f>M330 * N330</f>
        <v>100</v>
      </c>
      <c r="P330" s="16">
        <f>O330 * $S$3</f>
        <v>1.5</v>
      </c>
      <c r="Q330" s="16">
        <f>O330 * $S$4</f>
        <v>2</v>
      </c>
    </row>
    <row r="331" spans="1:17">
      <c r="A331" s="2">
        <v>330</v>
      </c>
      <c r="B331" s="4">
        <f t="shared" si="25"/>
        <v>18</v>
      </c>
      <c r="C331" s="4">
        <f t="shared" si="26"/>
        <v>9</v>
      </c>
      <c r="D331" s="4">
        <f t="shared" si="27"/>
        <v>2023</v>
      </c>
      <c r="E331" s="4" t="str">
        <f t="shared" si="28"/>
        <v>Mon</v>
      </c>
      <c r="F331" s="4" t="str">
        <f t="shared" si="29"/>
        <v>Sep</v>
      </c>
      <c r="G331" s="3">
        <v>45187</v>
      </c>
      <c r="H331" s="4" t="s">
        <v>564</v>
      </c>
      <c r="I331" s="4" t="s">
        <v>3</v>
      </c>
      <c r="J331" s="4" t="str" cm="1">
        <f t="array" ref="J331">_xlfn.IFS(K331&gt;=50, "Senior", K331&gt;=30, "Adult", K331&lt;30,"Young Adult")</f>
        <v>Senior</v>
      </c>
      <c r="K331" s="4">
        <v>50</v>
      </c>
      <c r="L331" s="4" t="s">
        <v>6</v>
      </c>
      <c r="M331" s="4">
        <v>4</v>
      </c>
      <c r="N331" s="22">
        <v>50</v>
      </c>
      <c r="O331" s="24">
        <f>M331 * N331</f>
        <v>200</v>
      </c>
      <c r="P331" s="16">
        <f>O331 * $S$3</f>
        <v>3</v>
      </c>
      <c r="Q331" s="16">
        <f>O331 * $S$4</f>
        <v>4</v>
      </c>
    </row>
    <row r="332" spans="1:17">
      <c r="A332" s="2">
        <v>331</v>
      </c>
      <c r="B332" s="4">
        <f t="shared" si="25"/>
        <v>11</v>
      </c>
      <c r="C332" s="4">
        <f t="shared" si="26"/>
        <v>2</v>
      </c>
      <c r="D332" s="4">
        <f t="shared" si="27"/>
        <v>2023</v>
      </c>
      <c r="E332" s="4" t="str">
        <f t="shared" si="28"/>
        <v>Sat</v>
      </c>
      <c r="F332" s="4" t="str">
        <f t="shared" si="29"/>
        <v>Feb</v>
      </c>
      <c r="G332" s="3">
        <v>44968</v>
      </c>
      <c r="H332" s="4" t="s">
        <v>565</v>
      </c>
      <c r="I332" s="4" t="s">
        <v>4</v>
      </c>
      <c r="J332" s="4" t="str" cm="1">
        <f t="array" ref="J332">_xlfn.IFS(K332&gt;=50, "Senior", K332&gt;=30, "Adult", K332&lt;30,"Young Adult")</f>
        <v>Senior</v>
      </c>
      <c r="K332" s="4">
        <v>50</v>
      </c>
      <c r="L332" s="4" t="s">
        <v>8</v>
      </c>
      <c r="M332" s="4">
        <v>3</v>
      </c>
      <c r="N332" s="22">
        <v>30</v>
      </c>
      <c r="O332" s="24">
        <f>M332 * N332</f>
        <v>90</v>
      </c>
      <c r="P332" s="16">
        <f>O332 * $S$3</f>
        <v>1.3499999999999999</v>
      </c>
      <c r="Q332" s="16">
        <f>O332 * $S$4</f>
        <v>1.8</v>
      </c>
    </row>
    <row r="333" spans="1:17">
      <c r="A333" s="2">
        <v>332</v>
      </c>
      <c r="B333" s="4">
        <f t="shared" si="25"/>
        <v>6</v>
      </c>
      <c r="C333" s="4">
        <f t="shared" si="26"/>
        <v>4</v>
      </c>
      <c r="D333" s="4">
        <f t="shared" si="27"/>
        <v>2023</v>
      </c>
      <c r="E333" s="4" t="str">
        <f t="shared" si="28"/>
        <v>Thu</v>
      </c>
      <c r="F333" s="4" t="str">
        <f t="shared" si="29"/>
        <v>Apr</v>
      </c>
      <c r="G333" s="3">
        <v>45022</v>
      </c>
      <c r="H333" s="4" t="s">
        <v>566</v>
      </c>
      <c r="I333" s="4" t="s">
        <v>4</v>
      </c>
      <c r="J333" s="4" t="str" cm="1">
        <f t="array" ref="J333">_xlfn.IFS(K333&gt;=50, "Senior", K333&gt;=30, "Adult", K333&lt;30,"Young Adult")</f>
        <v>Senior</v>
      </c>
      <c r="K333" s="4">
        <v>50</v>
      </c>
      <c r="L333" s="4" t="s">
        <v>8</v>
      </c>
      <c r="M333" s="4">
        <v>4</v>
      </c>
      <c r="N333" s="22">
        <v>300</v>
      </c>
      <c r="O333" s="24">
        <f>M333 * N333</f>
        <v>1200</v>
      </c>
      <c r="P333" s="16">
        <f>O333 * $S$3</f>
        <v>18</v>
      </c>
      <c r="Q333" s="16">
        <f>O333 * $S$4</f>
        <v>24</v>
      </c>
    </row>
    <row r="334" spans="1:17">
      <c r="A334" s="2">
        <v>333</v>
      </c>
      <c r="B334" s="4">
        <f t="shared" si="25"/>
        <v>5</v>
      </c>
      <c r="C334" s="4">
        <f t="shared" si="26"/>
        <v>2</v>
      </c>
      <c r="D334" s="4">
        <f t="shared" si="27"/>
        <v>2023</v>
      </c>
      <c r="E334" s="4" t="str">
        <f t="shared" si="28"/>
        <v>Sun</v>
      </c>
      <c r="F334" s="4" t="str">
        <f t="shared" si="29"/>
        <v>Feb</v>
      </c>
      <c r="G334" s="3">
        <v>44962</v>
      </c>
      <c r="H334" s="4" t="s">
        <v>567</v>
      </c>
      <c r="I334" s="4" t="s">
        <v>3</v>
      </c>
      <c r="J334" s="4" t="str" cm="1">
        <f t="array" ref="J334">_xlfn.IFS(K334&gt;=50, "Senior", K334&gt;=30, "Adult", K334&lt;30,"Young Adult")</f>
        <v>Senior</v>
      </c>
      <c r="K334" s="4">
        <v>50</v>
      </c>
      <c r="L334" s="4" t="s">
        <v>8</v>
      </c>
      <c r="M334" s="4">
        <v>4</v>
      </c>
      <c r="N334" s="22">
        <v>300</v>
      </c>
      <c r="O334" s="24">
        <f>M334 * N334</f>
        <v>1200</v>
      </c>
      <c r="P334" s="16">
        <f>O334 * $S$3</f>
        <v>18</v>
      </c>
      <c r="Q334" s="16">
        <f>O334 * $S$4</f>
        <v>24</v>
      </c>
    </row>
    <row r="335" spans="1:17">
      <c r="A335" s="2">
        <v>334</v>
      </c>
      <c r="B335" s="4">
        <f t="shared" si="25"/>
        <v>1</v>
      </c>
      <c r="C335" s="4">
        <f t="shared" si="26"/>
        <v>11</v>
      </c>
      <c r="D335" s="4">
        <f t="shared" si="27"/>
        <v>2023</v>
      </c>
      <c r="E335" s="4" t="str">
        <f t="shared" si="28"/>
        <v>Wed</v>
      </c>
      <c r="F335" s="4" t="str">
        <f t="shared" si="29"/>
        <v>Nov</v>
      </c>
      <c r="G335" s="3">
        <v>45231</v>
      </c>
      <c r="H335" s="4" t="s">
        <v>568</v>
      </c>
      <c r="I335" s="4" t="s">
        <v>4</v>
      </c>
      <c r="J335" s="4" t="str" cm="1">
        <f t="array" ref="J335">_xlfn.IFS(K335&gt;=50, "Senior", K335&gt;=30, "Adult", K335&lt;30,"Young Adult")</f>
        <v>Senior</v>
      </c>
      <c r="K335" s="4">
        <v>50</v>
      </c>
      <c r="L335" s="4" t="s">
        <v>8</v>
      </c>
      <c r="M335" s="4">
        <v>3</v>
      </c>
      <c r="N335" s="22">
        <v>300</v>
      </c>
      <c r="O335" s="24">
        <f>M335 * N335</f>
        <v>900</v>
      </c>
      <c r="P335" s="16">
        <f>O335 * $S$3</f>
        <v>13.5</v>
      </c>
      <c r="Q335" s="16">
        <f>O335 * $S$4</f>
        <v>18</v>
      </c>
    </row>
    <row r="336" spans="1:17">
      <c r="A336" s="2">
        <v>335</v>
      </c>
      <c r="B336" s="4">
        <f t="shared" si="25"/>
        <v>4</v>
      </c>
      <c r="C336" s="4">
        <f t="shared" si="26"/>
        <v>2</v>
      </c>
      <c r="D336" s="4">
        <f t="shared" si="27"/>
        <v>2023</v>
      </c>
      <c r="E336" s="4" t="str">
        <f t="shared" si="28"/>
        <v>Sat</v>
      </c>
      <c r="F336" s="4" t="str">
        <f t="shared" si="29"/>
        <v>Feb</v>
      </c>
      <c r="G336" s="3">
        <v>44961</v>
      </c>
      <c r="H336" s="4" t="s">
        <v>151</v>
      </c>
      <c r="I336" s="4" t="s">
        <v>3</v>
      </c>
      <c r="J336" s="4" t="str" cm="1">
        <f t="array" ref="J336">_xlfn.IFS(K336&gt;=50, "Senior", K336&gt;=30, "Adult", K336&lt;30,"Young Adult")</f>
        <v>Senior</v>
      </c>
      <c r="K336" s="4">
        <v>50</v>
      </c>
      <c r="L336" s="4" t="s">
        <v>6</v>
      </c>
      <c r="M336" s="4">
        <v>4</v>
      </c>
      <c r="N336" s="22">
        <v>30</v>
      </c>
      <c r="O336" s="24">
        <f>M336 * N336</f>
        <v>120</v>
      </c>
      <c r="P336" s="16">
        <f>O336 * $S$3</f>
        <v>1.7999999999999998</v>
      </c>
      <c r="Q336" s="16">
        <f>O336 * $S$4</f>
        <v>2.4</v>
      </c>
    </row>
    <row r="337" spans="1:17">
      <c r="A337" s="2">
        <v>336</v>
      </c>
      <c r="B337" s="4">
        <f t="shared" si="25"/>
        <v>12</v>
      </c>
      <c r="C337" s="4">
        <f t="shared" si="26"/>
        <v>12</v>
      </c>
      <c r="D337" s="4">
        <f t="shared" si="27"/>
        <v>2023</v>
      </c>
      <c r="E337" s="4" t="str">
        <f t="shared" si="28"/>
        <v>Tue</v>
      </c>
      <c r="F337" s="4" t="str">
        <f t="shared" si="29"/>
        <v>Dec</v>
      </c>
      <c r="G337" s="3">
        <v>45272</v>
      </c>
      <c r="H337" s="4" t="s">
        <v>569</v>
      </c>
      <c r="I337" s="4" t="s">
        <v>3</v>
      </c>
      <c r="J337" s="4" t="str" cm="1">
        <f t="array" ref="J337">_xlfn.IFS(K337&gt;=50, "Senior", K337&gt;=30, "Adult", K337&lt;30,"Young Adult")</f>
        <v>Senior</v>
      </c>
      <c r="K337" s="4">
        <v>50</v>
      </c>
      <c r="L337" s="4" t="s">
        <v>6</v>
      </c>
      <c r="M337" s="4">
        <v>3</v>
      </c>
      <c r="N337" s="22">
        <v>50</v>
      </c>
      <c r="O337" s="24">
        <f>M337 * N337</f>
        <v>150</v>
      </c>
      <c r="P337" s="16">
        <f>O337 * $S$3</f>
        <v>2.25</v>
      </c>
      <c r="Q337" s="16">
        <f>O337 * $S$4</f>
        <v>3</v>
      </c>
    </row>
    <row r="338" spans="1:17">
      <c r="A338" s="2">
        <v>337</v>
      </c>
      <c r="B338" s="4">
        <f t="shared" si="25"/>
        <v>1</v>
      </c>
      <c r="C338" s="4">
        <f t="shared" si="26"/>
        <v>5</v>
      </c>
      <c r="D338" s="4">
        <f t="shared" si="27"/>
        <v>2023</v>
      </c>
      <c r="E338" s="4" t="str">
        <f t="shared" si="28"/>
        <v>Mon</v>
      </c>
      <c r="F338" s="4" t="str">
        <f t="shared" si="29"/>
        <v>May</v>
      </c>
      <c r="G338" s="3">
        <v>45047</v>
      </c>
      <c r="H338" s="4" t="s">
        <v>287</v>
      </c>
      <c r="I338" s="4" t="s">
        <v>4</v>
      </c>
      <c r="J338" s="4" t="str" cm="1">
        <f t="array" ref="J338">_xlfn.IFS(K338&gt;=50, "Senior", K338&gt;=30, "Adult", K338&lt;30,"Young Adult")</f>
        <v>Adult</v>
      </c>
      <c r="K338" s="4">
        <v>49</v>
      </c>
      <c r="L338" s="4" t="s">
        <v>7</v>
      </c>
      <c r="M338" s="4">
        <v>1</v>
      </c>
      <c r="N338" s="22">
        <v>500</v>
      </c>
      <c r="O338" s="24">
        <f>M338 * N338</f>
        <v>500</v>
      </c>
      <c r="P338" s="16">
        <f>O338 * $S$3</f>
        <v>7.5</v>
      </c>
      <c r="Q338" s="16">
        <f>O338 * $S$4</f>
        <v>10</v>
      </c>
    </row>
    <row r="339" spans="1:17">
      <c r="A339" s="2">
        <v>338</v>
      </c>
      <c r="B339" s="4">
        <f t="shared" si="25"/>
        <v>26</v>
      </c>
      <c r="C339" s="4">
        <f t="shared" si="26"/>
        <v>7</v>
      </c>
      <c r="D339" s="4">
        <f t="shared" si="27"/>
        <v>2023</v>
      </c>
      <c r="E339" s="4" t="str">
        <f t="shared" si="28"/>
        <v>Wed</v>
      </c>
      <c r="F339" s="4" t="str">
        <f t="shared" si="29"/>
        <v>Jul</v>
      </c>
      <c r="G339" s="3">
        <v>45133</v>
      </c>
      <c r="H339" s="4" t="s">
        <v>570</v>
      </c>
      <c r="I339" s="4" t="s">
        <v>4</v>
      </c>
      <c r="J339" s="4" t="str" cm="1">
        <f t="array" ref="J339">_xlfn.IFS(K339&gt;=50, "Senior", K339&gt;=30, "Adult", K339&lt;30,"Young Adult")</f>
        <v>Adult</v>
      </c>
      <c r="K339" s="4">
        <v>49</v>
      </c>
      <c r="L339" s="4" t="s">
        <v>6</v>
      </c>
      <c r="M339" s="4">
        <v>2</v>
      </c>
      <c r="N339" s="22">
        <v>50</v>
      </c>
      <c r="O339" s="24">
        <f>M339 * N339</f>
        <v>100</v>
      </c>
      <c r="P339" s="16">
        <f>O339 * $S$3</f>
        <v>1.5</v>
      </c>
      <c r="Q339" s="16">
        <f>O339 * $S$4</f>
        <v>2</v>
      </c>
    </row>
    <row r="340" spans="1:17">
      <c r="A340" s="2">
        <v>339</v>
      </c>
      <c r="B340" s="4">
        <f t="shared" si="25"/>
        <v>3</v>
      </c>
      <c r="C340" s="4">
        <f t="shared" si="26"/>
        <v>3</v>
      </c>
      <c r="D340" s="4">
        <f t="shared" si="27"/>
        <v>2023</v>
      </c>
      <c r="E340" s="4" t="str">
        <f t="shared" si="28"/>
        <v>Fri</v>
      </c>
      <c r="F340" s="4" t="str">
        <f t="shared" si="29"/>
        <v>Mar</v>
      </c>
      <c r="G340" s="3">
        <v>44988</v>
      </c>
      <c r="H340" s="4" t="s">
        <v>571</v>
      </c>
      <c r="I340" s="4" t="s">
        <v>3</v>
      </c>
      <c r="J340" s="4" t="str" cm="1">
        <f t="array" ref="J340">_xlfn.IFS(K340&gt;=50, "Senior", K340&gt;=30, "Adult", K340&lt;30,"Young Adult")</f>
        <v>Adult</v>
      </c>
      <c r="K340" s="4">
        <v>49</v>
      </c>
      <c r="L340" s="4" t="s">
        <v>8</v>
      </c>
      <c r="M340" s="4">
        <v>2</v>
      </c>
      <c r="N340" s="22">
        <v>25</v>
      </c>
      <c r="O340" s="24">
        <f>M340 * N340</f>
        <v>50</v>
      </c>
      <c r="P340" s="16">
        <f>O340 * $S$3</f>
        <v>0.75</v>
      </c>
      <c r="Q340" s="16">
        <f>O340 * $S$4</f>
        <v>1</v>
      </c>
    </row>
    <row r="341" spans="1:17">
      <c r="A341" s="2">
        <v>340</v>
      </c>
      <c r="B341" s="4">
        <f t="shared" si="25"/>
        <v>19</v>
      </c>
      <c r="C341" s="4">
        <f t="shared" si="26"/>
        <v>10</v>
      </c>
      <c r="D341" s="4">
        <f t="shared" si="27"/>
        <v>2023</v>
      </c>
      <c r="E341" s="4" t="str">
        <f t="shared" si="28"/>
        <v>Thu</v>
      </c>
      <c r="F341" s="4" t="str">
        <f t="shared" si="29"/>
        <v>Oct</v>
      </c>
      <c r="G341" s="3">
        <v>45218</v>
      </c>
      <c r="H341" s="4" t="s">
        <v>285</v>
      </c>
      <c r="I341" s="4" t="s">
        <v>3</v>
      </c>
      <c r="J341" s="4" t="str" cm="1">
        <f t="array" ref="J341">_xlfn.IFS(K341&gt;=50, "Senior", K341&gt;=30, "Adult", K341&lt;30,"Young Adult")</f>
        <v>Adult</v>
      </c>
      <c r="K341" s="4">
        <v>49</v>
      </c>
      <c r="L341" s="4" t="s">
        <v>7</v>
      </c>
      <c r="M341" s="4">
        <v>4</v>
      </c>
      <c r="N341" s="22">
        <v>300</v>
      </c>
      <c r="O341" s="24">
        <f>M341 * N341</f>
        <v>1200</v>
      </c>
      <c r="P341" s="16">
        <f>O341 * $S$3</f>
        <v>18</v>
      </c>
      <c r="Q341" s="16">
        <f>O341 * $S$4</f>
        <v>24</v>
      </c>
    </row>
    <row r="342" spans="1:17">
      <c r="A342" s="2">
        <v>341</v>
      </c>
      <c r="B342" s="4">
        <f t="shared" si="25"/>
        <v>7</v>
      </c>
      <c r="C342" s="4">
        <f t="shared" si="26"/>
        <v>5</v>
      </c>
      <c r="D342" s="4">
        <f t="shared" si="27"/>
        <v>2023</v>
      </c>
      <c r="E342" s="4" t="str">
        <f t="shared" si="28"/>
        <v>Sun</v>
      </c>
      <c r="F342" s="4" t="str">
        <f t="shared" si="29"/>
        <v>May</v>
      </c>
      <c r="G342" s="3">
        <v>45053</v>
      </c>
      <c r="H342" s="4" t="s">
        <v>284</v>
      </c>
      <c r="I342" s="4" t="s">
        <v>4</v>
      </c>
      <c r="J342" s="4" t="str" cm="1">
        <f t="array" ref="J342">_xlfn.IFS(K342&gt;=50, "Senior", K342&gt;=30, "Adult", K342&lt;30,"Young Adult")</f>
        <v>Adult</v>
      </c>
      <c r="K342" s="4">
        <v>49</v>
      </c>
      <c r="L342" s="4" t="s">
        <v>7</v>
      </c>
      <c r="M342" s="4">
        <v>4</v>
      </c>
      <c r="N342" s="22">
        <v>50</v>
      </c>
      <c r="O342" s="24">
        <f>M342 * N342</f>
        <v>200</v>
      </c>
      <c r="P342" s="16">
        <f>O342 * $S$3</f>
        <v>3</v>
      </c>
      <c r="Q342" s="16">
        <f>O342 * $S$4</f>
        <v>4</v>
      </c>
    </row>
    <row r="343" spans="1:17">
      <c r="A343" s="2">
        <v>342</v>
      </c>
      <c r="B343" s="4">
        <f t="shared" si="25"/>
        <v>24</v>
      </c>
      <c r="C343" s="4">
        <f t="shared" si="26"/>
        <v>10</v>
      </c>
      <c r="D343" s="4">
        <f t="shared" si="27"/>
        <v>2023</v>
      </c>
      <c r="E343" s="4" t="str">
        <f t="shared" si="28"/>
        <v>Tue</v>
      </c>
      <c r="F343" s="4" t="str">
        <f t="shared" si="29"/>
        <v>Oct</v>
      </c>
      <c r="G343" s="3">
        <v>45223</v>
      </c>
      <c r="H343" s="4" t="s">
        <v>283</v>
      </c>
      <c r="I343" s="4" t="s">
        <v>3</v>
      </c>
      <c r="J343" s="4" t="str" cm="1">
        <f t="array" ref="J343">_xlfn.IFS(K343&gt;=50, "Senior", K343&gt;=30, "Adult", K343&lt;30,"Young Adult")</f>
        <v>Adult</v>
      </c>
      <c r="K343" s="4">
        <v>49</v>
      </c>
      <c r="L343" s="4" t="s">
        <v>7</v>
      </c>
      <c r="M343" s="4">
        <v>4</v>
      </c>
      <c r="N343" s="22">
        <v>500</v>
      </c>
      <c r="O343" s="24">
        <f>M343 * N343</f>
        <v>2000</v>
      </c>
      <c r="P343" s="16">
        <f>O343 * $S$3</f>
        <v>30</v>
      </c>
      <c r="Q343" s="16">
        <f>O343 * $S$4</f>
        <v>40</v>
      </c>
    </row>
    <row r="344" spans="1:17">
      <c r="A344" s="2">
        <v>343</v>
      </c>
      <c r="B344" s="4">
        <f t="shared" si="25"/>
        <v>1</v>
      </c>
      <c r="C344" s="4">
        <f t="shared" si="26"/>
        <v>11</v>
      </c>
      <c r="D344" s="4">
        <f t="shared" si="27"/>
        <v>2023</v>
      </c>
      <c r="E344" s="4" t="str">
        <f t="shared" si="28"/>
        <v>Wed</v>
      </c>
      <c r="F344" s="4" t="str">
        <f t="shared" si="29"/>
        <v>Nov</v>
      </c>
      <c r="G344" s="3">
        <v>45231</v>
      </c>
      <c r="H344" s="4" t="s">
        <v>572</v>
      </c>
      <c r="I344" s="4" t="s">
        <v>4</v>
      </c>
      <c r="J344" s="4" t="str" cm="1">
        <f t="array" ref="J344">_xlfn.IFS(K344&gt;=50, "Senior", K344&gt;=30, "Adult", K344&lt;30,"Young Adult")</f>
        <v>Adult</v>
      </c>
      <c r="K344" s="4">
        <v>49</v>
      </c>
      <c r="L344" s="4" t="s">
        <v>8</v>
      </c>
      <c r="M344" s="4">
        <v>2</v>
      </c>
      <c r="N344" s="22">
        <v>25</v>
      </c>
      <c r="O344" s="24">
        <f>M344 * N344</f>
        <v>50</v>
      </c>
      <c r="P344" s="16">
        <f>O344 * $S$3</f>
        <v>0.75</v>
      </c>
      <c r="Q344" s="16">
        <f>O344 * $S$4</f>
        <v>1</v>
      </c>
    </row>
    <row r="345" spans="1:17">
      <c r="A345" s="2">
        <v>344</v>
      </c>
      <c r="B345" s="4">
        <f t="shared" si="25"/>
        <v>21</v>
      </c>
      <c r="C345" s="4">
        <f t="shared" si="26"/>
        <v>1</v>
      </c>
      <c r="D345" s="4">
        <f t="shared" si="27"/>
        <v>2023</v>
      </c>
      <c r="E345" s="4" t="str">
        <f t="shared" si="28"/>
        <v>Sat</v>
      </c>
      <c r="F345" s="4" t="str">
        <f t="shared" si="29"/>
        <v>Jan</v>
      </c>
      <c r="G345" s="3">
        <v>44947</v>
      </c>
      <c r="H345" s="4" t="s">
        <v>150</v>
      </c>
      <c r="I345" s="4" t="s">
        <v>3</v>
      </c>
      <c r="J345" s="4" t="str" cm="1">
        <f t="array" ref="J345">_xlfn.IFS(K345&gt;=50, "Senior", K345&gt;=30, "Adult", K345&lt;30,"Young Adult")</f>
        <v>Adult</v>
      </c>
      <c r="K345" s="4">
        <v>49</v>
      </c>
      <c r="L345" s="4" t="s">
        <v>6</v>
      </c>
      <c r="M345" s="4">
        <v>1</v>
      </c>
      <c r="N345" s="22">
        <v>30</v>
      </c>
      <c r="O345" s="24">
        <f>M345 * N345</f>
        <v>30</v>
      </c>
      <c r="P345" s="16">
        <f>O345 * $S$3</f>
        <v>0.44999999999999996</v>
      </c>
      <c r="Q345" s="16">
        <f>O345 * $S$4</f>
        <v>0.6</v>
      </c>
    </row>
    <row r="346" spans="1:17">
      <c r="A346" s="2">
        <v>345</v>
      </c>
      <c r="B346" s="4">
        <f t="shared" si="25"/>
        <v>14</v>
      </c>
      <c r="C346" s="4">
        <f t="shared" si="26"/>
        <v>11</v>
      </c>
      <c r="D346" s="4">
        <f t="shared" si="27"/>
        <v>2023</v>
      </c>
      <c r="E346" s="4" t="str">
        <f t="shared" si="28"/>
        <v>Tue</v>
      </c>
      <c r="F346" s="4" t="str">
        <f t="shared" si="29"/>
        <v>Nov</v>
      </c>
      <c r="G346" s="3">
        <v>45244</v>
      </c>
      <c r="H346" s="4" t="s">
        <v>573</v>
      </c>
      <c r="I346" s="4" t="s">
        <v>4</v>
      </c>
      <c r="J346" s="4" t="str" cm="1">
        <f t="array" ref="J346">_xlfn.IFS(K346&gt;=50, "Senior", K346&gt;=30, "Adult", K346&lt;30,"Young Adult")</f>
        <v>Adult</v>
      </c>
      <c r="K346" s="4">
        <v>49</v>
      </c>
      <c r="L346" s="4" t="s">
        <v>8</v>
      </c>
      <c r="M346" s="4">
        <v>1</v>
      </c>
      <c r="N346" s="22">
        <v>30</v>
      </c>
      <c r="O346" s="24">
        <f>M346 * N346</f>
        <v>30</v>
      </c>
      <c r="P346" s="16">
        <f>O346 * $S$3</f>
        <v>0.44999999999999996</v>
      </c>
      <c r="Q346" s="16">
        <f>O346 * $S$4</f>
        <v>0.6</v>
      </c>
    </row>
    <row r="347" spans="1:17">
      <c r="A347" s="2">
        <v>346</v>
      </c>
      <c r="B347" s="4">
        <f t="shared" si="25"/>
        <v>11</v>
      </c>
      <c r="C347" s="4">
        <f t="shared" si="26"/>
        <v>2</v>
      </c>
      <c r="D347" s="4">
        <f t="shared" si="27"/>
        <v>2023</v>
      </c>
      <c r="E347" s="4" t="str">
        <f t="shared" si="28"/>
        <v>Sat</v>
      </c>
      <c r="F347" s="4" t="str">
        <f t="shared" si="29"/>
        <v>Feb</v>
      </c>
      <c r="G347" s="3">
        <v>44968</v>
      </c>
      <c r="H347" s="4" t="s">
        <v>574</v>
      </c>
      <c r="I347" s="4" t="s">
        <v>4</v>
      </c>
      <c r="J347" s="4" t="str" cm="1">
        <f t="array" ref="J347">_xlfn.IFS(K347&gt;=50, "Senior", K347&gt;=30, "Adult", K347&lt;30,"Young Adult")</f>
        <v>Adult</v>
      </c>
      <c r="K347" s="4">
        <v>49</v>
      </c>
      <c r="L347" s="4" t="s">
        <v>7</v>
      </c>
      <c r="M347" s="4">
        <v>2</v>
      </c>
      <c r="N347" s="22">
        <v>500</v>
      </c>
      <c r="O347" s="24">
        <f>M347 * N347</f>
        <v>1000</v>
      </c>
      <c r="P347" s="16">
        <f>O347 * $S$3</f>
        <v>15</v>
      </c>
      <c r="Q347" s="16">
        <f>O347 * $S$4</f>
        <v>20</v>
      </c>
    </row>
    <row r="348" spans="1:17">
      <c r="A348" s="2">
        <v>347</v>
      </c>
      <c r="B348" s="4">
        <f t="shared" si="25"/>
        <v>3</v>
      </c>
      <c r="C348" s="4">
        <f t="shared" si="26"/>
        <v>8</v>
      </c>
      <c r="D348" s="4">
        <f t="shared" si="27"/>
        <v>2023</v>
      </c>
      <c r="E348" s="4" t="str">
        <f t="shared" si="28"/>
        <v>Thu</v>
      </c>
      <c r="F348" s="4" t="str">
        <f t="shared" si="29"/>
        <v>Aug</v>
      </c>
      <c r="G348" s="3">
        <v>45141</v>
      </c>
      <c r="H348" s="4" t="s">
        <v>575</v>
      </c>
      <c r="I348" s="4" t="s">
        <v>4</v>
      </c>
      <c r="J348" s="4" t="str" cm="1">
        <f t="array" ref="J348">_xlfn.IFS(K348&gt;=50, "Senior", K348&gt;=30, "Adult", K348&lt;30,"Young Adult")</f>
        <v>Adult</v>
      </c>
      <c r="K348" s="4">
        <v>49</v>
      </c>
      <c r="L348" s="4" t="s">
        <v>8</v>
      </c>
      <c r="M348" s="4">
        <v>1</v>
      </c>
      <c r="N348" s="22">
        <v>25</v>
      </c>
      <c r="O348" s="24">
        <f>M348 * N348</f>
        <v>25</v>
      </c>
      <c r="P348" s="16">
        <f>O348 * $S$3</f>
        <v>0.375</v>
      </c>
      <c r="Q348" s="16">
        <f>O348 * $S$4</f>
        <v>0.5</v>
      </c>
    </row>
    <row r="349" spans="1:17">
      <c r="A349" s="2">
        <v>348</v>
      </c>
      <c r="B349" s="4">
        <f t="shared" si="25"/>
        <v>3</v>
      </c>
      <c r="C349" s="4">
        <f t="shared" si="26"/>
        <v>12</v>
      </c>
      <c r="D349" s="4">
        <f t="shared" si="27"/>
        <v>2023</v>
      </c>
      <c r="E349" s="4" t="str">
        <f t="shared" si="28"/>
        <v>Sun</v>
      </c>
      <c r="F349" s="4" t="str">
        <f t="shared" si="29"/>
        <v>Dec</v>
      </c>
      <c r="G349" s="3">
        <v>45263</v>
      </c>
      <c r="H349" s="4" t="s">
        <v>576</v>
      </c>
      <c r="I349" s="4" t="s">
        <v>3</v>
      </c>
      <c r="J349" s="4" t="str" cm="1">
        <f t="array" ref="J349">_xlfn.IFS(K349&gt;=50, "Senior", K349&gt;=30, "Adult", K349&lt;30,"Young Adult")</f>
        <v>Adult</v>
      </c>
      <c r="K349" s="4">
        <v>49</v>
      </c>
      <c r="L349" s="4" t="s">
        <v>8</v>
      </c>
      <c r="M349" s="4">
        <v>2</v>
      </c>
      <c r="N349" s="22">
        <v>300</v>
      </c>
      <c r="O349" s="24">
        <f>M349 * N349</f>
        <v>600</v>
      </c>
      <c r="P349" s="16">
        <f>O349 * $S$3</f>
        <v>9</v>
      </c>
      <c r="Q349" s="16">
        <f>O349 * $S$4</f>
        <v>12</v>
      </c>
    </row>
    <row r="350" spans="1:17">
      <c r="A350" s="2">
        <v>349</v>
      </c>
      <c r="B350" s="4">
        <f t="shared" si="25"/>
        <v>26</v>
      </c>
      <c r="C350" s="4">
        <f t="shared" si="26"/>
        <v>10</v>
      </c>
      <c r="D350" s="4">
        <f t="shared" si="27"/>
        <v>2023</v>
      </c>
      <c r="E350" s="4" t="str">
        <f t="shared" si="28"/>
        <v>Thu</v>
      </c>
      <c r="F350" s="4" t="str">
        <f t="shared" si="29"/>
        <v>Oct</v>
      </c>
      <c r="G350" s="3">
        <v>45225</v>
      </c>
      <c r="H350" s="4" t="s">
        <v>577</v>
      </c>
      <c r="I350" s="4" t="s">
        <v>3</v>
      </c>
      <c r="J350" s="4" t="str" cm="1">
        <f t="array" ref="J350">_xlfn.IFS(K350&gt;=50, "Senior", K350&gt;=30, "Adult", K350&lt;30,"Young Adult")</f>
        <v>Adult</v>
      </c>
      <c r="K350" s="4">
        <v>49</v>
      </c>
      <c r="L350" s="4" t="s">
        <v>6</v>
      </c>
      <c r="M350" s="4">
        <v>1</v>
      </c>
      <c r="N350" s="22">
        <v>50</v>
      </c>
      <c r="O350" s="24">
        <f>M350 * N350</f>
        <v>50</v>
      </c>
      <c r="P350" s="16">
        <f>O350 * $S$3</f>
        <v>0.75</v>
      </c>
      <c r="Q350" s="16">
        <f>O350 * $S$4</f>
        <v>1</v>
      </c>
    </row>
    <row r="351" spans="1:17">
      <c r="A351" s="2">
        <v>350</v>
      </c>
      <c r="B351" s="4">
        <f t="shared" si="25"/>
        <v>17</v>
      </c>
      <c r="C351" s="4">
        <f t="shared" si="26"/>
        <v>10</v>
      </c>
      <c r="D351" s="4">
        <f t="shared" si="27"/>
        <v>2023</v>
      </c>
      <c r="E351" s="4" t="str">
        <f t="shared" si="28"/>
        <v>Tue</v>
      </c>
      <c r="F351" s="4" t="str">
        <f t="shared" si="29"/>
        <v>Oct</v>
      </c>
      <c r="G351" s="3">
        <v>45216</v>
      </c>
      <c r="H351" s="4" t="s">
        <v>578</v>
      </c>
      <c r="I351" s="4" t="s">
        <v>4</v>
      </c>
      <c r="J351" s="4" t="str" cm="1">
        <f t="array" ref="J351">_xlfn.IFS(K351&gt;=50, "Senior", K351&gt;=30, "Adult", K351&lt;30,"Young Adult")</f>
        <v>Adult</v>
      </c>
      <c r="K351" s="4">
        <v>49</v>
      </c>
      <c r="L351" s="4" t="s">
        <v>6</v>
      </c>
      <c r="M351" s="4">
        <v>3</v>
      </c>
      <c r="N351" s="22">
        <v>25</v>
      </c>
      <c r="O351" s="24">
        <f>M351 * N351</f>
        <v>75</v>
      </c>
      <c r="P351" s="16">
        <f>O351 * $S$3</f>
        <v>1.125</v>
      </c>
      <c r="Q351" s="16">
        <f>O351 * $S$4</f>
        <v>1.5</v>
      </c>
    </row>
    <row r="352" spans="1:17">
      <c r="A352" s="2">
        <v>351</v>
      </c>
      <c r="B352" s="4">
        <f t="shared" si="25"/>
        <v>25</v>
      </c>
      <c r="C352" s="4">
        <f t="shared" si="26"/>
        <v>9</v>
      </c>
      <c r="D352" s="4">
        <f t="shared" si="27"/>
        <v>2023</v>
      </c>
      <c r="E352" s="4" t="str">
        <f t="shared" si="28"/>
        <v>Mon</v>
      </c>
      <c r="F352" s="4" t="str">
        <f t="shared" si="29"/>
        <v>Sep</v>
      </c>
      <c r="G352" s="3">
        <v>45194</v>
      </c>
      <c r="H352" s="4" t="s">
        <v>579</v>
      </c>
      <c r="I352" s="4" t="s">
        <v>3</v>
      </c>
      <c r="J352" s="4" t="str" cm="1">
        <f t="array" ref="J352">_xlfn.IFS(K352&gt;=50, "Senior", K352&gt;=30, "Adult", K352&lt;30,"Young Adult")</f>
        <v>Adult</v>
      </c>
      <c r="K352" s="4">
        <v>49</v>
      </c>
      <c r="L352" s="4" t="s">
        <v>7</v>
      </c>
      <c r="M352" s="4">
        <v>3</v>
      </c>
      <c r="N352" s="22">
        <v>30</v>
      </c>
      <c r="O352" s="24">
        <f>M352 * N352</f>
        <v>90</v>
      </c>
      <c r="P352" s="16">
        <f>O352 * $S$3</f>
        <v>1.3499999999999999</v>
      </c>
      <c r="Q352" s="16">
        <f>O352 * $S$4</f>
        <v>1.8</v>
      </c>
    </row>
    <row r="353" spans="1:17">
      <c r="A353" s="2">
        <v>352</v>
      </c>
      <c r="B353" s="4">
        <f t="shared" si="25"/>
        <v>11</v>
      </c>
      <c r="C353" s="4">
        <f t="shared" si="26"/>
        <v>6</v>
      </c>
      <c r="D353" s="4">
        <f t="shared" si="27"/>
        <v>2023</v>
      </c>
      <c r="E353" s="4" t="str">
        <f t="shared" si="28"/>
        <v>Sun</v>
      </c>
      <c r="F353" s="4" t="str">
        <f t="shared" si="29"/>
        <v>Jun</v>
      </c>
      <c r="G353" s="3">
        <v>45088</v>
      </c>
      <c r="H353" s="4" t="s">
        <v>580</v>
      </c>
      <c r="I353" s="4" t="s">
        <v>4</v>
      </c>
      <c r="J353" s="4" t="str" cm="1">
        <f t="array" ref="J353">_xlfn.IFS(K353&gt;=50, "Senior", K353&gt;=30, "Adult", K353&lt;30,"Young Adult")</f>
        <v>Adult</v>
      </c>
      <c r="K353" s="4">
        <v>49</v>
      </c>
      <c r="L353" s="4" t="s">
        <v>8</v>
      </c>
      <c r="M353" s="4">
        <v>2</v>
      </c>
      <c r="N353" s="22">
        <v>500</v>
      </c>
      <c r="O353" s="24">
        <f>M353 * N353</f>
        <v>1000</v>
      </c>
      <c r="P353" s="16">
        <f>O353 * $S$3</f>
        <v>15</v>
      </c>
      <c r="Q353" s="16">
        <f>O353 * $S$4</f>
        <v>20</v>
      </c>
    </row>
    <row r="354" spans="1:17">
      <c r="A354" s="2">
        <v>353</v>
      </c>
      <c r="B354" s="4">
        <f t="shared" si="25"/>
        <v>14</v>
      </c>
      <c r="C354" s="4">
        <f t="shared" si="26"/>
        <v>5</v>
      </c>
      <c r="D354" s="4">
        <f t="shared" si="27"/>
        <v>2023</v>
      </c>
      <c r="E354" s="4" t="str">
        <f t="shared" si="28"/>
        <v>Sun</v>
      </c>
      <c r="F354" s="4" t="str">
        <f t="shared" si="29"/>
        <v>May</v>
      </c>
      <c r="G354" s="3">
        <v>45060</v>
      </c>
      <c r="H354" s="4" t="s">
        <v>581</v>
      </c>
      <c r="I354" s="4" t="s">
        <v>4</v>
      </c>
      <c r="J354" s="4" t="str" cm="1">
        <f t="array" ref="J354">_xlfn.IFS(K354&gt;=50, "Senior", K354&gt;=30, "Adult", K354&lt;30,"Young Adult")</f>
        <v>Adult</v>
      </c>
      <c r="K354" s="4">
        <v>49</v>
      </c>
      <c r="L354" s="4" t="s">
        <v>8</v>
      </c>
      <c r="M354" s="4">
        <v>1</v>
      </c>
      <c r="N354" s="22">
        <v>500</v>
      </c>
      <c r="O354" s="24">
        <f>M354 * N354</f>
        <v>500</v>
      </c>
      <c r="P354" s="16">
        <f>O354 * $S$3</f>
        <v>7.5</v>
      </c>
      <c r="Q354" s="16">
        <f>O354 * $S$4</f>
        <v>10</v>
      </c>
    </row>
    <row r="355" spans="1:17">
      <c r="A355" s="2">
        <v>354</v>
      </c>
      <c r="B355" s="4">
        <f t="shared" si="25"/>
        <v>15</v>
      </c>
      <c r="C355" s="4">
        <f t="shared" si="26"/>
        <v>4</v>
      </c>
      <c r="D355" s="4">
        <f t="shared" si="27"/>
        <v>2023</v>
      </c>
      <c r="E355" s="4" t="str">
        <f t="shared" si="28"/>
        <v>Sat</v>
      </c>
      <c r="F355" s="4" t="str">
        <f t="shared" si="29"/>
        <v>Apr</v>
      </c>
      <c r="G355" s="3">
        <v>45031</v>
      </c>
      <c r="H355" s="4" t="s">
        <v>149</v>
      </c>
      <c r="I355" s="4" t="s">
        <v>3</v>
      </c>
      <c r="J355" s="4" t="str" cm="1">
        <f t="array" ref="J355">_xlfn.IFS(K355&gt;=50, "Senior", K355&gt;=30, "Adult", K355&lt;30,"Young Adult")</f>
        <v>Adult</v>
      </c>
      <c r="K355" s="4">
        <v>49</v>
      </c>
      <c r="L355" s="4" t="s">
        <v>6</v>
      </c>
      <c r="M355" s="4">
        <v>4</v>
      </c>
      <c r="N355" s="22">
        <v>50</v>
      </c>
      <c r="O355" s="24">
        <f>M355 * N355</f>
        <v>200</v>
      </c>
      <c r="P355" s="16">
        <f>O355 * $S$3</f>
        <v>3</v>
      </c>
      <c r="Q355" s="16">
        <f>O355 * $S$4</f>
        <v>4</v>
      </c>
    </row>
    <row r="356" spans="1:17">
      <c r="A356" s="2">
        <v>355</v>
      </c>
      <c r="B356" s="4">
        <f t="shared" si="25"/>
        <v>9</v>
      </c>
      <c r="C356" s="4">
        <f t="shared" si="26"/>
        <v>12</v>
      </c>
      <c r="D356" s="4">
        <f t="shared" si="27"/>
        <v>2023</v>
      </c>
      <c r="E356" s="4" t="str">
        <f t="shared" si="28"/>
        <v>Sat</v>
      </c>
      <c r="F356" s="4" t="str">
        <f t="shared" si="29"/>
        <v>Dec</v>
      </c>
      <c r="G356" s="3">
        <v>45269</v>
      </c>
      <c r="H356" s="4" t="s">
        <v>582</v>
      </c>
      <c r="I356" s="4" t="s">
        <v>3</v>
      </c>
      <c r="J356" s="4" t="str" cm="1">
        <f t="array" ref="J356">_xlfn.IFS(K356&gt;=50, "Senior", K356&gt;=30, "Adult", K356&lt;30,"Young Adult")</f>
        <v>Adult</v>
      </c>
      <c r="K356" s="4">
        <v>49</v>
      </c>
      <c r="L356" s="4" t="s">
        <v>8</v>
      </c>
      <c r="M356" s="4">
        <v>1</v>
      </c>
      <c r="N356" s="22">
        <v>500</v>
      </c>
      <c r="O356" s="24">
        <f>M356 * N356</f>
        <v>500</v>
      </c>
      <c r="P356" s="16">
        <f>O356 * $S$3</f>
        <v>7.5</v>
      </c>
      <c r="Q356" s="16">
        <f>O356 * $S$4</f>
        <v>10</v>
      </c>
    </row>
    <row r="357" spans="1:17">
      <c r="A357" s="2">
        <v>356</v>
      </c>
      <c r="B357" s="4">
        <f t="shared" si="25"/>
        <v>10</v>
      </c>
      <c r="C357" s="4">
        <f t="shared" si="26"/>
        <v>6</v>
      </c>
      <c r="D357" s="4">
        <f t="shared" si="27"/>
        <v>2023</v>
      </c>
      <c r="E357" s="4" t="str">
        <f t="shared" si="28"/>
        <v>Sat</v>
      </c>
      <c r="F357" s="4" t="str">
        <f t="shared" si="29"/>
        <v>Jun</v>
      </c>
      <c r="G357" s="3">
        <v>45087</v>
      </c>
      <c r="H357" s="4" t="s">
        <v>583</v>
      </c>
      <c r="I357" s="4" t="s">
        <v>4</v>
      </c>
      <c r="J357" s="4" t="str" cm="1">
        <f t="array" ref="J357">_xlfn.IFS(K357&gt;=50, "Senior", K357&gt;=30, "Adult", K357&lt;30,"Young Adult")</f>
        <v>Adult</v>
      </c>
      <c r="K357" s="4">
        <v>48</v>
      </c>
      <c r="L357" s="4" t="s">
        <v>8</v>
      </c>
      <c r="M357" s="4">
        <v>3</v>
      </c>
      <c r="N357" s="22">
        <v>500</v>
      </c>
      <c r="O357" s="24">
        <f>M357 * N357</f>
        <v>1500</v>
      </c>
      <c r="P357" s="16">
        <f>O357 * $S$3</f>
        <v>22.5</v>
      </c>
      <c r="Q357" s="16">
        <f>O357 * $S$4</f>
        <v>30</v>
      </c>
    </row>
    <row r="358" spans="1:17">
      <c r="A358" s="2">
        <v>357</v>
      </c>
      <c r="B358" s="4">
        <f t="shared" si="25"/>
        <v>3</v>
      </c>
      <c r="C358" s="4">
        <f t="shared" si="26"/>
        <v>5</v>
      </c>
      <c r="D358" s="4">
        <f t="shared" si="27"/>
        <v>2023</v>
      </c>
      <c r="E358" s="4" t="str">
        <f t="shared" si="28"/>
        <v>Wed</v>
      </c>
      <c r="F358" s="4" t="str">
        <f t="shared" si="29"/>
        <v>May</v>
      </c>
      <c r="G358" s="3">
        <v>45049</v>
      </c>
      <c r="H358" s="4" t="s">
        <v>584</v>
      </c>
      <c r="I358" s="4" t="s">
        <v>3</v>
      </c>
      <c r="J358" s="4" t="str" cm="1">
        <f t="array" ref="J358">_xlfn.IFS(K358&gt;=50, "Senior", K358&gt;=30, "Adult", K358&lt;30,"Young Adult")</f>
        <v>Adult</v>
      </c>
      <c r="K358" s="4">
        <v>48</v>
      </c>
      <c r="L358" s="4" t="s">
        <v>8</v>
      </c>
      <c r="M358" s="4">
        <v>3</v>
      </c>
      <c r="N358" s="22">
        <v>25</v>
      </c>
      <c r="O358" s="24">
        <f>M358 * N358</f>
        <v>75</v>
      </c>
      <c r="P358" s="16">
        <f>O358 * $S$3</f>
        <v>1.125</v>
      </c>
      <c r="Q358" s="16">
        <f>O358 * $S$4</f>
        <v>1.5</v>
      </c>
    </row>
    <row r="359" spans="1:17">
      <c r="A359" s="2">
        <v>358</v>
      </c>
      <c r="B359" s="4">
        <f t="shared" si="25"/>
        <v>16</v>
      </c>
      <c r="C359" s="4">
        <f t="shared" si="26"/>
        <v>5</v>
      </c>
      <c r="D359" s="4">
        <f t="shared" si="27"/>
        <v>2023</v>
      </c>
      <c r="E359" s="4" t="str">
        <f t="shared" si="28"/>
        <v>Tue</v>
      </c>
      <c r="F359" s="4" t="str">
        <f t="shared" si="29"/>
        <v>May</v>
      </c>
      <c r="G359" s="3">
        <v>45062</v>
      </c>
      <c r="H359" s="4" t="s">
        <v>147</v>
      </c>
      <c r="I359" s="4" t="s">
        <v>3</v>
      </c>
      <c r="J359" s="4" t="str" cm="1">
        <f t="array" ref="J359">_xlfn.IFS(K359&gt;=50, "Senior", K359&gt;=30, "Adult", K359&lt;30,"Young Adult")</f>
        <v>Adult</v>
      </c>
      <c r="K359" s="4">
        <v>48</v>
      </c>
      <c r="L359" s="4" t="s">
        <v>6</v>
      </c>
      <c r="M359" s="4">
        <v>1</v>
      </c>
      <c r="N359" s="22">
        <v>300</v>
      </c>
      <c r="O359" s="24">
        <f>M359 * N359</f>
        <v>300</v>
      </c>
      <c r="P359" s="16">
        <f>O359 * $S$3</f>
        <v>4.5</v>
      </c>
      <c r="Q359" s="16">
        <f>O359 * $S$4</f>
        <v>6</v>
      </c>
    </row>
    <row r="360" spans="1:17">
      <c r="A360" s="2">
        <v>359</v>
      </c>
      <c r="B360" s="4">
        <f t="shared" si="25"/>
        <v>22</v>
      </c>
      <c r="C360" s="4">
        <f t="shared" si="26"/>
        <v>7</v>
      </c>
      <c r="D360" s="4">
        <f t="shared" si="27"/>
        <v>2023</v>
      </c>
      <c r="E360" s="4" t="str">
        <f t="shared" si="28"/>
        <v>Sat</v>
      </c>
      <c r="F360" s="4" t="str">
        <f t="shared" si="29"/>
        <v>Jul</v>
      </c>
      <c r="G360" s="3">
        <v>45129</v>
      </c>
      <c r="H360" s="4" t="s">
        <v>585</v>
      </c>
      <c r="I360" s="4" t="s">
        <v>4</v>
      </c>
      <c r="J360" s="4" t="str" cm="1">
        <f t="array" ref="J360">_xlfn.IFS(K360&gt;=50, "Senior", K360&gt;=30, "Adult", K360&lt;30,"Young Adult")</f>
        <v>Adult</v>
      </c>
      <c r="K360" s="4">
        <v>48</v>
      </c>
      <c r="L360" s="4" t="s">
        <v>7</v>
      </c>
      <c r="M360" s="4">
        <v>1</v>
      </c>
      <c r="N360" s="22">
        <v>50</v>
      </c>
      <c r="O360" s="24">
        <f>M360 * N360</f>
        <v>50</v>
      </c>
      <c r="P360" s="16">
        <f>O360 * $S$3</f>
        <v>0.75</v>
      </c>
      <c r="Q360" s="16">
        <f>O360 * $S$4</f>
        <v>1</v>
      </c>
    </row>
    <row r="361" spans="1:17">
      <c r="A361" s="2">
        <v>360</v>
      </c>
      <c r="B361" s="4">
        <f t="shared" si="25"/>
        <v>9</v>
      </c>
      <c r="C361" s="4">
        <f t="shared" si="26"/>
        <v>3</v>
      </c>
      <c r="D361" s="4">
        <f t="shared" si="27"/>
        <v>2023</v>
      </c>
      <c r="E361" s="4" t="str">
        <f t="shared" si="28"/>
        <v>Thu</v>
      </c>
      <c r="F361" s="4" t="str">
        <f t="shared" si="29"/>
        <v>Mar</v>
      </c>
      <c r="G361" s="3">
        <v>44994</v>
      </c>
      <c r="H361" s="4" t="s">
        <v>282</v>
      </c>
      <c r="I361" s="4" t="s">
        <v>4</v>
      </c>
      <c r="J361" s="4" t="str" cm="1">
        <f t="array" ref="J361">_xlfn.IFS(K361&gt;=50, "Senior", K361&gt;=30, "Adult", K361&lt;30,"Young Adult")</f>
        <v>Adult</v>
      </c>
      <c r="K361" s="4">
        <v>48</v>
      </c>
      <c r="L361" s="4" t="s">
        <v>7</v>
      </c>
      <c r="M361" s="4">
        <v>4</v>
      </c>
      <c r="N361" s="22">
        <v>25</v>
      </c>
      <c r="O361" s="24">
        <f>M361 * N361</f>
        <v>100</v>
      </c>
      <c r="P361" s="16">
        <f>O361 * $S$3</f>
        <v>1.5</v>
      </c>
      <c r="Q361" s="16">
        <f>O361 * $S$4</f>
        <v>2</v>
      </c>
    </row>
    <row r="362" spans="1:17">
      <c r="A362" s="2">
        <v>361</v>
      </c>
      <c r="B362" s="4">
        <f t="shared" si="25"/>
        <v>10</v>
      </c>
      <c r="C362" s="4">
        <f t="shared" si="26"/>
        <v>12</v>
      </c>
      <c r="D362" s="4">
        <f t="shared" si="27"/>
        <v>2023</v>
      </c>
      <c r="E362" s="4" t="str">
        <f t="shared" si="28"/>
        <v>Sun</v>
      </c>
      <c r="F362" s="4" t="str">
        <f t="shared" si="29"/>
        <v>Dec</v>
      </c>
      <c r="G362" s="3">
        <v>45270</v>
      </c>
      <c r="H362" s="4" t="s">
        <v>586</v>
      </c>
      <c r="I362" s="4" t="s">
        <v>3</v>
      </c>
      <c r="J362" s="4" t="str" cm="1">
        <f t="array" ref="J362">_xlfn.IFS(K362&gt;=50, "Senior", K362&gt;=30, "Adult", K362&lt;30,"Young Adult")</f>
        <v>Adult</v>
      </c>
      <c r="K362" s="4">
        <v>48</v>
      </c>
      <c r="L362" s="4" t="s">
        <v>8</v>
      </c>
      <c r="M362" s="4">
        <v>4</v>
      </c>
      <c r="N362" s="22">
        <v>300</v>
      </c>
      <c r="O362" s="24">
        <f>M362 * N362</f>
        <v>1200</v>
      </c>
      <c r="P362" s="16">
        <f>O362 * $S$3</f>
        <v>18</v>
      </c>
      <c r="Q362" s="16">
        <f>O362 * $S$4</f>
        <v>24</v>
      </c>
    </row>
    <row r="363" spans="1:17">
      <c r="A363" s="2">
        <v>362</v>
      </c>
      <c r="B363" s="4">
        <f t="shared" si="25"/>
        <v>27</v>
      </c>
      <c r="C363" s="4">
        <f t="shared" si="26"/>
        <v>11</v>
      </c>
      <c r="D363" s="4">
        <f t="shared" si="27"/>
        <v>2023</v>
      </c>
      <c r="E363" s="4" t="str">
        <f t="shared" si="28"/>
        <v>Mon</v>
      </c>
      <c r="F363" s="4" t="str">
        <f t="shared" si="29"/>
        <v>Nov</v>
      </c>
      <c r="G363" s="3">
        <v>45257</v>
      </c>
      <c r="H363" s="4" t="s">
        <v>587</v>
      </c>
      <c r="I363" s="4" t="s">
        <v>4</v>
      </c>
      <c r="J363" s="4" t="str" cm="1">
        <f t="array" ref="J363">_xlfn.IFS(K363&gt;=50, "Senior", K363&gt;=30, "Adult", K363&lt;30,"Young Adult")</f>
        <v>Adult</v>
      </c>
      <c r="K363" s="4">
        <v>48</v>
      </c>
      <c r="L363" s="4" t="s">
        <v>7</v>
      </c>
      <c r="M363" s="4">
        <v>1</v>
      </c>
      <c r="N363" s="22">
        <v>25</v>
      </c>
      <c r="O363" s="24">
        <f>M363 * N363</f>
        <v>25</v>
      </c>
      <c r="P363" s="16">
        <f>O363 * $S$3</f>
        <v>0.375</v>
      </c>
      <c r="Q363" s="16">
        <f>O363 * $S$4</f>
        <v>0.5</v>
      </c>
    </row>
    <row r="364" spans="1:17">
      <c r="A364" s="2">
        <v>363</v>
      </c>
      <c r="B364" s="4">
        <f t="shared" si="25"/>
        <v>3</v>
      </c>
      <c r="C364" s="4">
        <f t="shared" si="26"/>
        <v>6</v>
      </c>
      <c r="D364" s="4">
        <f t="shared" si="27"/>
        <v>2023</v>
      </c>
      <c r="E364" s="4" t="str">
        <f t="shared" si="28"/>
        <v>Sat</v>
      </c>
      <c r="F364" s="4" t="str">
        <f t="shared" si="29"/>
        <v>Jun</v>
      </c>
      <c r="G364" s="3">
        <v>45080</v>
      </c>
      <c r="H364" s="4" t="s">
        <v>588</v>
      </c>
      <c r="I364" s="4" t="s">
        <v>4</v>
      </c>
      <c r="J364" s="4" t="str" cm="1">
        <f t="array" ref="J364">_xlfn.IFS(K364&gt;=50, "Senior", K364&gt;=30, "Adult", K364&lt;30,"Young Adult")</f>
        <v>Adult</v>
      </c>
      <c r="K364" s="4">
        <v>48</v>
      </c>
      <c r="L364" s="4" t="s">
        <v>6</v>
      </c>
      <c r="M364" s="4">
        <v>1</v>
      </c>
      <c r="N364" s="22">
        <v>25</v>
      </c>
      <c r="O364" s="24">
        <f>M364 * N364</f>
        <v>25</v>
      </c>
      <c r="P364" s="16">
        <f>O364 * $S$3</f>
        <v>0.375</v>
      </c>
      <c r="Q364" s="16">
        <f>O364 * $S$4</f>
        <v>0.5</v>
      </c>
    </row>
    <row r="365" spans="1:17">
      <c r="A365" s="2">
        <v>364</v>
      </c>
      <c r="B365" s="4">
        <f t="shared" si="25"/>
        <v>23</v>
      </c>
      <c r="C365" s="4">
        <f t="shared" si="26"/>
        <v>8</v>
      </c>
      <c r="D365" s="4">
        <f t="shared" si="27"/>
        <v>2023</v>
      </c>
      <c r="E365" s="4" t="str">
        <f t="shared" si="28"/>
        <v>Wed</v>
      </c>
      <c r="F365" s="4" t="str">
        <f t="shared" si="29"/>
        <v>Aug</v>
      </c>
      <c r="G365" s="3">
        <v>45161</v>
      </c>
      <c r="H365" s="4" t="s">
        <v>589</v>
      </c>
      <c r="I365" s="4" t="s">
        <v>3</v>
      </c>
      <c r="J365" s="4" t="str" cm="1">
        <f t="array" ref="J365">_xlfn.IFS(K365&gt;=50, "Senior", K365&gt;=30, "Adult", K365&lt;30,"Young Adult")</f>
        <v>Adult</v>
      </c>
      <c r="K365" s="4">
        <v>48</v>
      </c>
      <c r="L365" s="4" t="s">
        <v>6</v>
      </c>
      <c r="M365" s="4">
        <v>1</v>
      </c>
      <c r="N365" s="22">
        <v>500</v>
      </c>
      <c r="O365" s="24">
        <f>M365 * N365</f>
        <v>500</v>
      </c>
      <c r="P365" s="16">
        <f>O365 * $S$3</f>
        <v>7.5</v>
      </c>
      <c r="Q365" s="16">
        <f>O365 * $S$4</f>
        <v>10</v>
      </c>
    </row>
    <row r="366" spans="1:17">
      <c r="A366" s="2">
        <v>365</v>
      </c>
      <c r="B366" s="4">
        <f t="shared" si="25"/>
        <v>11</v>
      </c>
      <c r="C366" s="4">
        <f t="shared" si="26"/>
        <v>6</v>
      </c>
      <c r="D366" s="4">
        <f t="shared" si="27"/>
        <v>2023</v>
      </c>
      <c r="E366" s="4" t="str">
        <f t="shared" si="28"/>
        <v>Sun</v>
      </c>
      <c r="F366" s="4" t="str">
        <f t="shared" si="29"/>
        <v>Jun</v>
      </c>
      <c r="G366" s="3">
        <v>45088</v>
      </c>
      <c r="H366" s="4" t="s">
        <v>281</v>
      </c>
      <c r="I366" s="4" t="s">
        <v>4</v>
      </c>
      <c r="J366" s="4" t="str" cm="1">
        <f t="array" ref="J366">_xlfn.IFS(K366&gt;=50, "Senior", K366&gt;=30, "Adult", K366&lt;30,"Young Adult")</f>
        <v>Adult</v>
      </c>
      <c r="K366" s="4">
        <v>48</v>
      </c>
      <c r="L366" s="4" t="s">
        <v>7</v>
      </c>
      <c r="M366" s="4">
        <v>1</v>
      </c>
      <c r="N366" s="22">
        <v>300</v>
      </c>
      <c r="O366" s="24">
        <f>M366 * N366</f>
        <v>300</v>
      </c>
      <c r="P366" s="16">
        <f>O366 * $S$3</f>
        <v>4.5</v>
      </c>
      <c r="Q366" s="16">
        <f>O366 * $S$4</f>
        <v>6</v>
      </c>
    </row>
    <row r="367" spans="1:17">
      <c r="A367" s="2">
        <v>366</v>
      </c>
      <c r="B367" s="4">
        <f t="shared" si="25"/>
        <v>7</v>
      </c>
      <c r="C367" s="4">
        <f t="shared" si="26"/>
        <v>2</v>
      </c>
      <c r="D367" s="4">
        <f t="shared" si="27"/>
        <v>2023</v>
      </c>
      <c r="E367" s="4" t="str">
        <f t="shared" si="28"/>
        <v>Tue</v>
      </c>
      <c r="F367" s="4" t="str">
        <f t="shared" si="29"/>
        <v>Feb</v>
      </c>
      <c r="G367" s="3">
        <v>44964</v>
      </c>
      <c r="H367" s="4" t="s">
        <v>590</v>
      </c>
      <c r="I367" s="4" t="s">
        <v>4</v>
      </c>
      <c r="J367" s="4" t="str" cm="1">
        <f t="array" ref="J367">_xlfn.IFS(K367&gt;=50, "Senior", K367&gt;=30, "Adult", K367&lt;30,"Young Adult")</f>
        <v>Adult</v>
      </c>
      <c r="K367" s="4">
        <v>48</v>
      </c>
      <c r="L367" s="4" t="s">
        <v>7</v>
      </c>
      <c r="M367" s="4">
        <v>2</v>
      </c>
      <c r="N367" s="22">
        <v>50</v>
      </c>
      <c r="O367" s="24">
        <f>M367 * N367</f>
        <v>100</v>
      </c>
      <c r="P367" s="16">
        <f>O367 * $S$3</f>
        <v>1.5</v>
      </c>
      <c r="Q367" s="16">
        <f>O367 * $S$4</f>
        <v>2</v>
      </c>
    </row>
    <row r="368" spans="1:17">
      <c r="A368" s="2">
        <v>367</v>
      </c>
      <c r="B368" s="4">
        <f t="shared" si="25"/>
        <v>5</v>
      </c>
      <c r="C368" s="4">
        <f t="shared" si="26"/>
        <v>1</v>
      </c>
      <c r="D368" s="4">
        <f t="shared" si="27"/>
        <v>2023</v>
      </c>
      <c r="E368" s="4" t="str">
        <f t="shared" si="28"/>
        <v>Thu</v>
      </c>
      <c r="F368" s="4" t="str">
        <f t="shared" si="29"/>
        <v>Jan</v>
      </c>
      <c r="G368" s="3">
        <v>44931</v>
      </c>
      <c r="H368" s="4" t="s">
        <v>591</v>
      </c>
      <c r="I368" s="4" t="s">
        <v>3</v>
      </c>
      <c r="J368" s="4" t="str" cm="1">
        <f t="array" ref="J368">_xlfn.IFS(K368&gt;=50, "Senior", K368&gt;=30, "Adult", K368&lt;30,"Young Adult")</f>
        <v>Adult</v>
      </c>
      <c r="K368" s="4">
        <v>48</v>
      </c>
      <c r="L368" s="4" t="s">
        <v>8</v>
      </c>
      <c r="M368" s="4">
        <v>1</v>
      </c>
      <c r="N368" s="22">
        <v>50</v>
      </c>
      <c r="O368" s="24">
        <f>M368 * N368</f>
        <v>50</v>
      </c>
      <c r="P368" s="16">
        <f>O368 * $S$3</f>
        <v>0.75</v>
      </c>
      <c r="Q368" s="16">
        <f>O368 * $S$4</f>
        <v>1</v>
      </c>
    </row>
    <row r="369" spans="1:17">
      <c r="A369" s="2">
        <v>368</v>
      </c>
      <c r="B369" s="4">
        <f t="shared" si="25"/>
        <v>23</v>
      </c>
      <c r="C369" s="4">
        <f t="shared" si="26"/>
        <v>8</v>
      </c>
      <c r="D369" s="4">
        <f t="shared" si="27"/>
        <v>2023</v>
      </c>
      <c r="E369" s="4" t="str">
        <f t="shared" si="28"/>
        <v>Wed</v>
      </c>
      <c r="F369" s="4" t="str">
        <f t="shared" si="29"/>
        <v>Aug</v>
      </c>
      <c r="G369" s="3">
        <v>45161</v>
      </c>
      <c r="H369" s="4" t="s">
        <v>592</v>
      </c>
      <c r="I369" s="4" t="s">
        <v>3</v>
      </c>
      <c r="J369" s="4" t="str" cm="1">
        <f t="array" ref="J369">_xlfn.IFS(K369&gt;=50, "Senior", K369&gt;=30, "Adult", K369&lt;30,"Young Adult")</f>
        <v>Adult</v>
      </c>
      <c r="K369" s="4">
        <v>48</v>
      </c>
      <c r="L369" s="4" t="s">
        <v>7</v>
      </c>
      <c r="M369" s="4">
        <v>4</v>
      </c>
      <c r="N369" s="22">
        <v>300</v>
      </c>
      <c r="O369" s="24">
        <f>M369 * N369</f>
        <v>1200</v>
      </c>
      <c r="P369" s="16">
        <f>O369 * $S$3</f>
        <v>18</v>
      </c>
      <c r="Q369" s="16">
        <f>O369 * $S$4</f>
        <v>24</v>
      </c>
    </row>
    <row r="370" spans="1:17">
      <c r="A370" s="2">
        <v>369</v>
      </c>
      <c r="B370" s="4">
        <f t="shared" si="25"/>
        <v>15</v>
      </c>
      <c r="C370" s="4">
        <f t="shared" si="26"/>
        <v>11</v>
      </c>
      <c r="D370" s="4">
        <f t="shared" si="27"/>
        <v>2023</v>
      </c>
      <c r="E370" s="4" t="str">
        <f t="shared" si="28"/>
        <v>Wed</v>
      </c>
      <c r="F370" s="4" t="str">
        <f t="shared" si="29"/>
        <v>Nov</v>
      </c>
      <c r="G370" s="3">
        <v>45245</v>
      </c>
      <c r="H370" s="4" t="s">
        <v>593</v>
      </c>
      <c r="I370" s="4" t="s">
        <v>4</v>
      </c>
      <c r="J370" s="4" t="str" cm="1">
        <f t="array" ref="J370">_xlfn.IFS(K370&gt;=50, "Senior", K370&gt;=30, "Adult", K370&lt;30,"Young Adult")</f>
        <v>Adult</v>
      </c>
      <c r="K370" s="4">
        <v>48</v>
      </c>
      <c r="L370" s="4" t="s">
        <v>8</v>
      </c>
      <c r="M370" s="4">
        <v>3</v>
      </c>
      <c r="N370" s="22">
        <v>500</v>
      </c>
      <c r="O370" s="24">
        <f>M370 * N370</f>
        <v>1500</v>
      </c>
      <c r="P370" s="16">
        <f>O370 * $S$3</f>
        <v>22.5</v>
      </c>
      <c r="Q370" s="16">
        <f>O370 * $S$4</f>
        <v>30</v>
      </c>
    </row>
    <row r="371" spans="1:17">
      <c r="A371" s="2">
        <v>370</v>
      </c>
      <c r="B371" s="4">
        <f t="shared" si="25"/>
        <v>16</v>
      </c>
      <c r="C371" s="4">
        <f t="shared" si="26"/>
        <v>10</v>
      </c>
      <c r="D371" s="4">
        <f t="shared" si="27"/>
        <v>2023</v>
      </c>
      <c r="E371" s="4" t="str">
        <f t="shared" si="28"/>
        <v>Mon</v>
      </c>
      <c r="F371" s="4" t="str">
        <f t="shared" si="29"/>
        <v>Oct</v>
      </c>
      <c r="G371" s="3">
        <v>45215</v>
      </c>
      <c r="H371" s="4" t="s">
        <v>594</v>
      </c>
      <c r="I371" s="4" t="s">
        <v>4</v>
      </c>
      <c r="J371" s="4" t="str" cm="1">
        <f t="array" ref="J371">_xlfn.IFS(K371&gt;=50, "Senior", K371&gt;=30, "Adult", K371&lt;30,"Young Adult")</f>
        <v>Adult</v>
      </c>
      <c r="K371" s="4">
        <v>48</v>
      </c>
      <c r="L371" s="4" t="s">
        <v>8</v>
      </c>
      <c r="M371" s="4">
        <v>2</v>
      </c>
      <c r="N371" s="22">
        <v>30</v>
      </c>
      <c r="O371" s="24">
        <f>M371 * N371</f>
        <v>60</v>
      </c>
      <c r="P371" s="16">
        <f>O371 * $S$3</f>
        <v>0.89999999999999991</v>
      </c>
      <c r="Q371" s="16">
        <f>O371 * $S$4</f>
        <v>1.2</v>
      </c>
    </row>
    <row r="372" spans="1:17">
      <c r="A372" s="2">
        <v>371</v>
      </c>
      <c r="B372" s="4">
        <f t="shared" si="25"/>
        <v>21</v>
      </c>
      <c r="C372" s="4">
        <f t="shared" si="26"/>
        <v>2</v>
      </c>
      <c r="D372" s="4">
        <f t="shared" si="27"/>
        <v>2023</v>
      </c>
      <c r="E372" s="4" t="str">
        <f t="shared" si="28"/>
        <v>Tue</v>
      </c>
      <c r="F372" s="4" t="str">
        <f t="shared" si="29"/>
        <v>Feb</v>
      </c>
      <c r="G372" s="3">
        <v>44978</v>
      </c>
      <c r="H372" s="4" t="s">
        <v>595</v>
      </c>
      <c r="I372" s="4" t="s">
        <v>3</v>
      </c>
      <c r="J372" s="4" t="str" cm="1">
        <f t="array" ref="J372">_xlfn.IFS(K372&gt;=50, "Senior", K372&gt;=30, "Adult", K372&lt;30,"Young Adult")</f>
        <v>Adult</v>
      </c>
      <c r="K372" s="4">
        <v>48</v>
      </c>
      <c r="L372" s="4" t="s">
        <v>6</v>
      </c>
      <c r="M372" s="4">
        <v>1</v>
      </c>
      <c r="N372" s="22">
        <v>25</v>
      </c>
      <c r="O372" s="24">
        <f>M372 * N372</f>
        <v>25</v>
      </c>
      <c r="P372" s="16">
        <f>O372 * $S$3</f>
        <v>0.375</v>
      </c>
      <c r="Q372" s="16">
        <f>O372 * $S$4</f>
        <v>0.5</v>
      </c>
    </row>
    <row r="373" spans="1:17">
      <c r="A373" s="2">
        <v>372</v>
      </c>
      <c r="B373" s="4">
        <f t="shared" si="25"/>
        <v>7</v>
      </c>
      <c r="C373" s="4">
        <f t="shared" si="26"/>
        <v>2</v>
      </c>
      <c r="D373" s="4">
        <f t="shared" si="27"/>
        <v>2023</v>
      </c>
      <c r="E373" s="4" t="str">
        <f t="shared" si="28"/>
        <v>Tue</v>
      </c>
      <c r="F373" s="4" t="str">
        <f t="shared" si="29"/>
        <v>Feb</v>
      </c>
      <c r="G373" s="3">
        <v>44964</v>
      </c>
      <c r="H373" s="4" t="s">
        <v>596</v>
      </c>
      <c r="I373" s="4" t="s">
        <v>3</v>
      </c>
      <c r="J373" s="4" t="str" cm="1">
        <f t="array" ref="J373">_xlfn.IFS(K373&gt;=50, "Senior", K373&gt;=30, "Adult", K373&lt;30,"Young Adult")</f>
        <v>Adult</v>
      </c>
      <c r="K373" s="4">
        <v>48</v>
      </c>
      <c r="L373" s="4" t="s">
        <v>6</v>
      </c>
      <c r="M373" s="4">
        <v>3</v>
      </c>
      <c r="N373" s="22">
        <v>500</v>
      </c>
      <c r="O373" s="24">
        <f>M373 * N373</f>
        <v>1500</v>
      </c>
      <c r="P373" s="16">
        <f>O373 * $S$3</f>
        <v>22.5</v>
      </c>
      <c r="Q373" s="16">
        <f>O373 * $S$4</f>
        <v>30</v>
      </c>
    </row>
    <row r="374" spans="1:17">
      <c r="A374" s="2">
        <v>373</v>
      </c>
      <c r="B374" s="4">
        <f t="shared" si="25"/>
        <v>3</v>
      </c>
      <c r="C374" s="4">
        <f t="shared" si="26"/>
        <v>10</v>
      </c>
      <c r="D374" s="4">
        <f t="shared" si="27"/>
        <v>2023</v>
      </c>
      <c r="E374" s="4" t="str">
        <f t="shared" si="28"/>
        <v>Tue</v>
      </c>
      <c r="F374" s="4" t="str">
        <f t="shared" si="29"/>
        <v>Oct</v>
      </c>
      <c r="G374" s="3">
        <v>45202</v>
      </c>
      <c r="H374" s="4" t="s">
        <v>597</v>
      </c>
      <c r="I374" s="4" t="s">
        <v>3</v>
      </c>
      <c r="J374" s="4" t="str" cm="1">
        <f t="array" ref="J374">_xlfn.IFS(K374&gt;=50, "Senior", K374&gt;=30, "Adult", K374&lt;30,"Young Adult")</f>
        <v>Adult</v>
      </c>
      <c r="K374" s="4">
        <v>48</v>
      </c>
      <c r="L374" s="4" t="s">
        <v>6</v>
      </c>
      <c r="M374" s="4">
        <v>2</v>
      </c>
      <c r="N374" s="22">
        <v>300</v>
      </c>
      <c r="O374" s="24">
        <f>M374 * N374</f>
        <v>600</v>
      </c>
      <c r="P374" s="16">
        <f>O374 * $S$3</f>
        <v>9</v>
      </c>
      <c r="Q374" s="16">
        <f>O374 * $S$4</f>
        <v>12</v>
      </c>
    </row>
    <row r="375" spans="1:17">
      <c r="A375" s="2">
        <v>374</v>
      </c>
      <c r="B375" s="4">
        <f t="shared" si="25"/>
        <v>20</v>
      </c>
      <c r="C375" s="4">
        <f t="shared" si="26"/>
        <v>4</v>
      </c>
      <c r="D375" s="4">
        <f t="shared" si="27"/>
        <v>2023</v>
      </c>
      <c r="E375" s="4" t="str">
        <f t="shared" si="28"/>
        <v>Thu</v>
      </c>
      <c r="F375" s="4" t="str">
        <f t="shared" si="29"/>
        <v>Apr</v>
      </c>
      <c r="G375" s="3">
        <v>45036</v>
      </c>
      <c r="H375" s="4" t="s">
        <v>598</v>
      </c>
      <c r="I375" s="4" t="s">
        <v>3</v>
      </c>
      <c r="J375" s="4" t="str" cm="1">
        <f t="array" ref="J375">_xlfn.IFS(K375&gt;=50, "Senior", K375&gt;=30, "Adult", K375&lt;30,"Young Adult")</f>
        <v>Adult</v>
      </c>
      <c r="K375" s="4">
        <v>47</v>
      </c>
      <c r="L375" s="4" t="s">
        <v>6</v>
      </c>
      <c r="M375" s="4">
        <v>3</v>
      </c>
      <c r="N375" s="22">
        <v>25</v>
      </c>
      <c r="O375" s="24">
        <f>M375 * N375</f>
        <v>75</v>
      </c>
      <c r="P375" s="16">
        <f>O375 * $S$3</f>
        <v>1.125</v>
      </c>
      <c r="Q375" s="16">
        <f>O375 * $S$4</f>
        <v>1.5</v>
      </c>
    </row>
    <row r="376" spans="1:17">
      <c r="A376" s="2">
        <v>375</v>
      </c>
      <c r="B376" s="4">
        <f t="shared" si="25"/>
        <v>17</v>
      </c>
      <c r="C376" s="4">
        <f t="shared" si="26"/>
        <v>9</v>
      </c>
      <c r="D376" s="4">
        <f t="shared" si="27"/>
        <v>2023</v>
      </c>
      <c r="E376" s="4" t="str">
        <f t="shared" si="28"/>
        <v>Sun</v>
      </c>
      <c r="F376" s="4" t="str">
        <f t="shared" si="29"/>
        <v>Sep</v>
      </c>
      <c r="G376" s="3">
        <v>45186</v>
      </c>
      <c r="H376" s="4" t="s">
        <v>279</v>
      </c>
      <c r="I376" s="4" t="s">
        <v>4</v>
      </c>
      <c r="J376" s="4" t="str" cm="1">
        <f t="array" ref="J376">_xlfn.IFS(K376&gt;=50, "Senior", K376&gt;=30, "Adult", K376&lt;30,"Young Adult")</f>
        <v>Adult</v>
      </c>
      <c r="K376" s="4">
        <v>47</v>
      </c>
      <c r="L376" s="4" t="s">
        <v>7</v>
      </c>
      <c r="M376" s="4">
        <v>1</v>
      </c>
      <c r="N376" s="22">
        <v>50</v>
      </c>
      <c r="O376" s="24">
        <f>M376 * N376</f>
        <v>50</v>
      </c>
      <c r="P376" s="16">
        <f>O376 * $S$3</f>
        <v>0.75</v>
      </c>
      <c r="Q376" s="16">
        <f>O376 * $S$4</f>
        <v>1</v>
      </c>
    </row>
    <row r="377" spans="1:17">
      <c r="A377" s="2">
        <v>376</v>
      </c>
      <c r="B377" s="4">
        <f t="shared" si="25"/>
        <v>16</v>
      </c>
      <c r="C377" s="4">
        <f t="shared" si="26"/>
        <v>5</v>
      </c>
      <c r="D377" s="4">
        <f t="shared" si="27"/>
        <v>2023</v>
      </c>
      <c r="E377" s="4" t="str">
        <f t="shared" si="28"/>
        <v>Tue</v>
      </c>
      <c r="F377" s="4" t="str">
        <f t="shared" si="29"/>
        <v>May</v>
      </c>
      <c r="G377" s="3">
        <v>45062</v>
      </c>
      <c r="H377" s="4" t="s">
        <v>599</v>
      </c>
      <c r="I377" s="4" t="s">
        <v>3</v>
      </c>
      <c r="J377" s="4" t="str" cm="1">
        <f t="array" ref="J377">_xlfn.IFS(K377&gt;=50, "Senior", K377&gt;=30, "Adult", K377&lt;30,"Young Adult")</f>
        <v>Adult</v>
      </c>
      <c r="K377" s="4">
        <v>47</v>
      </c>
      <c r="L377" s="4" t="s">
        <v>6</v>
      </c>
      <c r="M377" s="4">
        <v>1</v>
      </c>
      <c r="N377" s="22">
        <v>30</v>
      </c>
      <c r="O377" s="24">
        <f>M377 * N377</f>
        <v>30</v>
      </c>
      <c r="P377" s="16">
        <f>O377 * $S$3</f>
        <v>0.44999999999999996</v>
      </c>
      <c r="Q377" s="16">
        <f>O377 * $S$4</f>
        <v>0.6</v>
      </c>
    </row>
    <row r="378" spans="1:17">
      <c r="A378" s="2">
        <v>377</v>
      </c>
      <c r="B378" s="4">
        <f t="shared" si="25"/>
        <v>9</v>
      </c>
      <c r="C378" s="4">
        <f t="shared" si="26"/>
        <v>3</v>
      </c>
      <c r="D378" s="4">
        <f t="shared" si="27"/>
        <v>2023</v>
      </c>
      <c r="E378" s="4" t="str">
        <f t="shared" si="28"/>
        <v>Thu</v>
      </c>
      <c r="F378" s="4" t="str">
        <f t="shared" si="29"/>
        <v>Mar</v>
      </c>
      <c r="G378" s="3">
        <v>44994</v>
      </c>
      <c r="H378" s="4" t="s">
        <v>278</v>
      </c>
      <c r="I378" s="4" t="s">
        <v>3</v>
      </c>
      <c r="J378" s="4" t="str" cm="1">
        <f t="array" ref="J378">_xlfn.IFS(K378&gt;=50, "Senior", K378&gt;=30, "Adult", K378&lt;30,"Young Adult")</f>
        <v>Adult</v>
      </c>
      <c r="K378" s="4">
        <v>47</v>
      </c>
      <c r="L378" s="4" t="s">
        <v>7</v>
      </c>
      <c r="M378" s="4">
        <v>4</v>
      </c>
      <c r="N378" s="22">
        <v>50</v>
      </c>
      <c r="O378" s="24">
        <f>M378 * N378</f>
        <v>200</v>
      </c>
      <c r="P378" s="16">
        <f>O378 * $S$3</f>
        <v>3</v>
      </c>
      <c r="Q378" s="16">
        <f>O378 * $S$4</f>
        <v>4</v>
      </c>
    </row>
    <row r="379" spans="1:17">
      <c r="A379" s="2">
        <v>378</v>
      </c>
      <c r="B379" s="4">
        <f t="shared" si="25"/>
        <v>28</v>
      </c>
      <c r="C379" s="4">
        <f t="shared" si="26"/>
        <v>6</v>
      </c>
      <c r="D379" s="4">
        <f t="shared" si="27"/>
        <v>2023</v>
      </c>
      <c r="E379" s="4" t="str">
        <f t="shared" si="28"/>
        <v>Wed</v>
      </c>
      <c r="F379" s="4" t="str">
        <f t="shared" si="29"/>
        <v>Jun</v>
      </c>
      <c r="G379" s="3">
        <v>45105</v>
      </c>
      <c r="H379" s="4" t="s">
        <v>600</v>
      </c>
      <c r="I379" s="4" t="s">
        <v>4</v>
      </c>
      <c r="J379" s="4" t="str" cm="1">
        <f t="array" ref="J379">_xlfn.IFS(K379&gt;=50, "Senior", K379&gt;=30, "Adult", K379&lt;30,"Young Adult")</f>
        <v>Adult</v>
      </c>
      <c r="K379" s="4">
        <v>47</v>
      </c>
      <c r="L379" s="4" t="s">
        <v>6</v>
      </c>
      <c r="M379" s="4">
        <v>1</v>
      </c>
      <c r="N379" s="22">
        <v>300</v>
      </c>
      <c r="O379" s="24">
        <f>M379 * N379</f>
        <v>300</v>
      </c>
      <c r="P379" s="16">
        <f>O379 * $S$3</f>
        <v>4.5</v>
      </c>
      <c r="Q379" s="16">
        <f>O379 * $S$4</f>
        <v>6</v>
      </c>
    </row>
    <row r="380" spans="1:17">
      <c r="A380" s="2">
        <v>379</v>
      </c>
      <c r="B380" s="4">
        <f t="shared" si="25"/>
        <v>5</v>
      </c>
      <c r="C380" s="4">
        <f t="shared" si="26"/>
        <v>2</v>
      </c>
      <c r="D380" s="4">
        <f t="shared" si="27"/>
        <v>2023</v>
      </c>
      <c r="E380" s="4" t="str">
        <f t="shared" si="28"/>
        <v>Sun</v>
      </c>
      <c r="F380" s="4" t="str">
        <f t="shared" si="29"/>
        <v>Feb</v>
      </c>
      <c r="G380" s="3">
        <v>44962</v>
      </c>
      <c r="H380" s="4" t="s">
        <v>277</v>
      </c>
      <c r="I380" s="4" t="s">
        <v>3</v>
      </c>
      <c r="J380" s="4" t="str" cm="1">
        <f t="array" ref="J380">_xlfn.IFS(K380&gt;=50, "Senior", K380&gt;=30, "Adult", K380&lt;30,"Young Adult")</f>
        <v>Adult</v>
      </c>
      <c r="K380" s="4">
        <v>47</v>
      </c>
      <c r="L380" s="4" t="s">
        <v>7</v>
      </c>
      <c r="M380" s="4">
        <v>1</v>
      </c>
      <c r="N380" s="22">
        <v>25</v>
      </c>
      <c r="O380" s="24">
        <f>M380 * N380</f>
        <v>25</v>
      </c>
      <c r="P380" s="16">
        <f>O380 * $S$3</f>
        <v>0.375</v>
      </c>
      <c r="Q380" s="16">
        <f>O380 * $S$4</f>
        <v>0.5</v>
      </c>
    </row>
    <row r="381" spans="1:17">
      <c r="A381" s="2">
        <v>380</v>
      </c>
      <c r="B381" s="4">
        <f t="shared" si="25"/>
        <v>6</v>
      </c>
      <c r="C381" s="4">
        <f t="shared" si="26"/>
        <v>5</v>
      </c>
      <c r="D381" s="4">
        <f t="shared" si="27"/>
        <v>2023</v>
      </c>
      <c r="E381" s="4" t="str">
        <f t="shared" si="28"/>
        <v>Sat</v>
      </c>
      <c r="F381" s="4" t="str">
        <f t="shared" si="29"/>
        <v>May</v>
      </c>
      <c r="G381" s="3">
        <v>45052</v>
      </c>
      <c r="H381" s="4" t="s">
        <v>601</v>
      </c>
      <c r="I381" s="4" t="s">
        <v>4</v>
      </c>
      <c r="J381" s="4" t="str" cm="1">
        <f t="array" ref="J381">_xlfn.IFS(K381&gt;=50, "Senior", K381&gt;=30, "Adult", K381&lt;30,"Young Adult")</f>
        <v>Adult</v>
      </c>
      <c r="K381" s="4">
        <v>47</v>
      </c>
      <c r="L381" s="4" t="s">
        <v>8</v>
      </c>
      <c r="M381" s="4">
        <v>2</v>
      </c>
      <c r="N381" s="22">
        <v>300</v>
      </c>
      <c r="O381" s="24">
        <f>M381 * N381</f>
        <v>600</v>
      </c>
      <c r="P381" s="16">
        <f>O381 * $S$3</f>
        <v>9</v>
      </c>
      <c r="Q381" s="16">
        <f>O381 * $S$4</f>
        <v>12</v>
      </c>
    </row>
    <row r="382" spans="1:17">
      <c r="A382" s="2">
        <v>381</v>
      </c>
      <c r="B382" s="4">
        <f t="shared" si="25"/>
        <v>9</v>
      </c>
      <c r="C382" s="4">
        <f t="shared" si="26"/>
        <v>7</v>
      </c>
      <c r="D382" s="4">
        <f t="shared" si="27"/>
        <v>2023</v>
      </c>
      <c r="E382" s="4" t="str">
        <f t="shared" si="28"/>
        <v>Sun</v>
      </c>
      <c r="F382" s="4" t="str">
        <f t="shared" si="29"/>
        <v>Jul</v>
      </c>
      <c r="G382" s="3">
        <v>45116</v>
      </c>
      <c r="H382" s="4" t="s">
        <v>276</v>
      </c>
      <c r="I382" s="4" t="s">
        <v>3</v>
      </c>
      <c r="J382" s="4" t="str" cm="1">
        <f t="array" ref="J382">_xlfn.IFS(K382&gt;=50, "Senior", K382&gt;=30, "Adult", K382&lt;30,"Young Adult")</f>
        <v>Adult</v>
      </c>
      <c r="K382" s="4">
        <v>47</v>
      </c>
      <c r="L382" s="4" t="s">
        <v>7</v>
      </c>
      <c r="M382" s="4">
        <v>4</v>
      </c>
      <c r="N382" s="22">
        <v>25</v>
      </c>
      <c r="O382" s="24">
        <f>M382 * N382</f>
        <v>100</v>
      </c>
      <c r="P382" s="16">
        <f>O382 * $S$3</f>
        <v>1.5</v>
      </c>
      <c r="Q382" s="16">
        <f>O382 * $S$4</f>
        <v>2</v>
      </c>
    </row>
    <row r="383" spans="1:17">
      <c r="A383" s="2">
        <v>382</v>
      </c>
      <c r="B383" s="4">
        <f t="shared" si="25"/>
        <v>26</v>
      </c>
      <c r="C383" s="4">
        <f t="shared" si="26"/>
        <v>5</v>
      </c>
      <c r="D383" s="4">
        <f t="shared" si="27"/>
        <v>2023</v>
      </c>
      <c r="E383" s="4" t="str">
        <f t="shared" si="28"/>
        <v>Fri</v>
      </c>
      <c r="F383" s="4" t="str">
        <f t="shared" si="29"/>
        <v>May</v>
      </c>
      <c r="G383" s="3">
        <v>45072</v>
      </c>
      <c r="H383" s="4" t="s">
        <v>602</v>
      </c>
      <c r="I383" s="4" t="s">
        <v>3</v>
      </c>
      <c r="J383" s="4" t="str" cm="1">
        <f t="array" ref="J383">_xlfn.IFS(K383&gt;=50, "Senior", K383&gt;=30, "Adult", K383&lt;30,"Young Adult")</f>
        <v>Adult</v>
      </c>
      <c r="K383" s="4">
        <v>47</v>
      </c>
      <c r="L383" s="4" t="s">
        <v>7</v>
      </c>
      <c r="M383" s="4">
        <v>2</v>
      </c>
      <c r="N383" s="22">
        <v>500</v>
      </c>
      <c r="O383" s="24">
        <f>M383 * N383</f>
        <v>1000</v>
      </c>
      <c r="P383" s="16">
        <f>O383 * $S$3</f>
        <v>15</v>
      </c>
      <c r="Q383" s="16">
        <f>O383 * $S$4</f>
        <v>20</v>
      </c>
    </row>
    <row r="384" spans="1:17">
      <c r="A384" s="2">
        <v>383</v>
      </c>
      <c r="B384" s="4">
        <f t="shared" si="25"/>
        <v>22</v>
      </c>
      <c r="C384" s="4">
        <f t="shared" si="26"/>
        <v>3</v>
      </c>
      <c r="D384" s="4">
        <f t="shared" si="27"/>
        <v>2023</v>
      </c>
      <c r="E384" s="4" t="str">
        <f t="shared" si="28"/>
        <v>Wed</v>
      </c>
      <c r="F384" s="4" t="str">
        <f t="shared" si="29"/>
        <v>Mar</v>
      </c>
      <c r="G384" s="3">
        <v>45007</v>
      </c>
      <c r="H384" s="4" t="s">
        <v>145</v>
      </c>
      <c r="I384" s="4" t="s">
        <v>3</v>
      </c>
      <c r="J384" s="4" t="str" cm="1">
        <f t="array" ref="J384">_xlfn.IFS(K384&gt;=50, "Senior", K384&gt;=30, "Adult", K384&lt;30,"Young Adult")</f>
        <v>Adult</v>
      </c>
      <c r="K384" s="4">
        <v>47</v>
      </c>
      <c r="L384" s="4" t="s">
        <v>6</v>
      </c>
      <c r="M384" s="4">
        <v>3</v>
      </c>
      <c r="N384" s="22">
        <v>30</v>
      </c>
      <c r="O384" s="24">
        <f>M384 * N384</f>
        <v>90</v>
      </c>
      <c r="P384" s="16">
        <f>O384 * $S$3</f>
        <v>1.3499999999999999</v>
      </c>
      <c r="Q384" s="16">
        <f>O384 * $S$4</f>
        <v>1.8</v>
      </c>
    </row>
    <row r="385" spans="1:17">
      <c r="A385" s="2">
        <v>384</v>
      </c>
      <c r="B385" s="4">
        <f t="shared" si="25"/>
        <v>13</v>
      </c>
      <c r="C385" s="4">
        <f t="shared" si="26"/>
        <v>8</v>
      </c>
      <c r="D385" s="4">
        <f t="shared" si="27"/>
        <v>2023</v>
      </c>
      <c r="E385" s="4" t="str">
        <f t="shared" si="28"/>
        <v>Sun</v>
      </c>
      <c r="F385" s="4" t="str">
        <f t="shared" si="29"/>
        <v>Aug</v>
      </c>
      <c r="G385" s="3">
        <v>45151</v>
      </c>
      <c r="H385" s="4" t="s">
        <v>603</v>
      </c>
      <c r="I385" s="4" t="s">
        <v>4</v>
      </c>
      <c r="J385" s="4" t="str" cm="1">
        <f t="array" ref="J385">_xlfn.IFS(K385&gt;=50, "Senior", K385&gt;=30, "Adult", K385&lt;30,"Young Adult")</f>
        <v>Adult</v>
      </c>
      <c r="K385" s="4">
        <v>47</v>
      </c>
      <c r="L385" s="4" t="s">
        <v>7</v>
      </c>
      <c r="M385" s="4">
        <v>1</v>
      </c>
      <c r="N385" s="22">
        <v>500</v>
      </c>
      <c r="O385" s="24">
        <f>M385 * N385</f>
        <v>500</v>
      </c>
      <c r="P385" s="16">
        <f>O385 * $S$3</f>
        <v>7.5</v>
      </c>
      <c r="Q385" s="16">
        <f>O385 * $S$4</f>
        <v>10</v>
      </c>
    </row>
    <row r="386" spans="1:17">
      <c r="A386" s="2">
        <v>385</v>
      </c>
      <c r="B386" s="4">
        <f t="shared" si="25"/>
        <v>6</v>
      </c>
      <c r="C386" s="4">
        <f t="shared" si="26"/>
        <v>10</v>
      </c>
      <c r="D386" s="4">
        <f t="shared" si="27"/>
        <v>2023</v>
      </c>
      <c r="E386" s="4" t="str">
        <f t="shared" si="28"/>
        <v>Fri</v>
      </c>
      <c r="F386" s="4" t="str">
        <f t="shared" si="29"/>
        <v>Oct</v>
      </c>
      <c r="G386" s="3">
        <v>45205</v>
      </c>
      <c r="H386" s="4" t="s">
        <v>604</v>
      </c>
      <c r="I386" s="4" t="s">
        <v>4</v>
      </c>
      <c r="J386" s="4" t="str" cm="1">
        <f t="array" ref="J386">_xlfn.IFS(K386&gt;=50, "Senior", K386&gt;=30, "Adult", K386&lt;30,"Young Adult")</f>
        <v>Adult</v>
      </c>
      <c r="K386" s="4">
        <v>47</v>
      </c>
      <c r="L386" s="4" t="s">
        <v>8</v>
      </c>
      <c r="M386" s="4">
        <v>3</v>
      </c>
      <c r="N386" s="22">
        <v>500</v>
      </c>
      <c r="O386" s="24">
        <f>M386 * N386</f>
        <v>1500</v>
      </c>
      <c r="P386" s="16">
        <f>O386 * $S$3</f>
        <v>22.5</v>
      </c>
      <c r="Q386" s="16">
        <f>O386 * $S$4</f>
        <v>30</v>
      </c>
    </row>
    <row r="387" spans="1:17">
      <c r="A387" s="2">
        <v>386</v>
      </c>
      <c r="B387" s="4">
        <f t="shared" ref="B387:B450" si="30">DAY(G387)</f>
        <v>27</v>
      </c>
      <c r="C387" s="4">
        <f t="shared" ref="C387:C450" si="31">MONTH(G387)</f>
        <v>12</v>
      </c>
      <c r="D387" s="4">
        <f t="shared" ref="D387:D450" si="32">YEAR(G387)</f>
        <v>2023</v>
      </c>
      <c r="E387" s="4" t="str">
        <f t="shared" ref="E387:E450" si="33">TEXT(G387,"DDD")</f>
        <v>Wed</v>
      </c>
      <c r="F387" s="4" t="str">
        <f t="shared" ref="F387:F450" si="34">TEXT(G387,"MMM")</f>
        <v>Dec</v>
      </c>
      <c r="G387" s="3">
        <v>45287</v>
      </c>
      <c r="H387" s="4" t="s">
        <v>605</v>
      </c>
      <c r="I387" s="4" t="s">
        <v>3</v>
      </c>
      <c r="J387" s="4" t="str" cm="1">
        <f t="array" ref="J387">_xlfn.IFS(K387&gt;=50, "Senior", K387&gt;=30, "Adult", K387&lt;30,"Young Adult")</f>
        <v>Adult</v>
      </c>
      <c r="K387" s="4">
        <v>47</v>
      </c>
      <c r="L387" s="4" t="s">
        <v>8</v>
      </c>
      <c r="M387" s="4">
        <v>2</v>
      </c>
      <c r="N387" s="22">
        <v>300</v>
      </c>
      <c r="O387" s="24">
        <f>M387 * N387</f>
        <v>600</v>
      </c>
      <c r="P387" s="16">
        <f>O387 * $S$3</f>
        <v>9</v>
      </c>
      <c r="Q387" s="16">
        <f>O387 * $S$4</f>
        <v>12</v>
      </c>
    </row>
    <row r="388" spans="1:17">
      <c r="A388" s="2">
        <v>387</v>
      </c>
      <c r="B388" s="4">
        <f t="shared" si="30"/>
        <v>4</v>
      </c>
      <c r="C388" s="4">
        <f t="shared" si="31"/>
        <v>6</v>
      </c>
      <c r="D388" s="4">
        <f t="shared" si="32"/>
        <v>2023</v>
      </c>
      <c r="E388" s="4" t="str">
        <f t="shared" si="33"/>
        <v>Sun</v>
      </c>
      <c r="F388" s="4" t="str">
        <f t="shared" si="34"/>
        <v>Jun</v>
      </c>
      <c r="G388" s="3">
        <v>45081</v>
      </c>
      <c r="H388" s="4" t="s">
        <v>144</v>
      </c>
      <c r="I388" s="4" t="s">
        <v>4</v>
      </c>
      <c r="J388" s="4" t="str" cm="1">
        <f t="array" ref="J388">_xlfn.IFS(K388&gt;=50, "Senior", K388&gt;=30, "Adult", K388&lt;30,"Young Adult")</f>
        <v>Adult</v>
      </c>
      <c r="K388" s="4">
        <v>47</v>
      </c>
      <c r="L388" s="4" t="s">
        <v>6</v>
      </c>
      <c r="M388" s="4">
        <v>1</v>
      </c>
      <c r="N388" s="22">
        <v>30</v>
      </c>
      <c r="O388" s="24">
        <f>M388 * N388</f>
        <v>30</v>
      </c>
      <c r="P388" s="16">
        <f>O388 * $S$3</f>
        <v>0.44999999999999996</v>
      </c>
      <c r="Q388" s="16">
        <f>O388 * $S$4</f>
        <v>0.6</v>
      </c>
    </row>
    <row r="389" spans="1:17">
      <c r="A389" s="2">
        <v>388</v>
      </c>
      <c r="B389" s="4">
        <f t="shared" si="30"/>
        <v>10</v>
      </c>
      <c r="C389" s="4">
        <f t="shared" si="31"/>
        <v>11</v>
      </c>
      <c r="D389" s="4">
        <f t="shared" si="32"/>
        <v>2023</v>
      </c>
      <c r="E389" s="4" t="str">
        <f t="shared" si="33"/>
        <v>Fri</v>
      </c>
      <c r="F389" s="4" t="str">
        <f t="shared" si="34"/>
        <v>Nov</v>
      </c>
      <c r="G389" s="3">
        <v>45240</v>
      </c>
      <c r="H389" s="4" t="s">
        <v>606</v>
      </c>
      <c r="I389" s="4" t="s">
        <v>4</v>
      </c>
      <c r="J389" s="4" t="str" cm="1">
        <f t="array" ref="J389">_xlfn.IFS(K389&gt;=50, "Senior", K389&gt;=30, "Adult", K389&lt;30,"Young Adult")</f>
        <v>Adult</v>
      </c>
      <c r="K389" s="4">
        <v>47</v>
      </c>
      <c r="L389" s="4" t="s">
        <v>8</v>
      </c>
      <c r="M389" s="4">
        <v>1</v>
      </c>
      <c r="N389" s="22">
        <v>25</v>
      </c>
      <c r="O389" s="24">
        <f>M389 * N389</f>
        <v>25</v>
      </c>
      <c r="P389" s="16">
        <f>O389 * $S$3</f>
        <v>0.375</v>
      </c>
      <c r="Q389" s="16">
        <f>O389 * $S$4</f>
        <v>0.5</v>
      </c>
    </row>
    <row r="390" spans="1:17">
      <c r="A390" s="2">
        <v>389</v>
      </c>
      <c r="B390" s="4">
        <f t="shared" si="30"/>
        <v>1</v>
      </c>
      <c r="C390" s="4">
        <f t="shared" si="31"/>
        <v>12</v>
      </c>
      <c r="D390" s="4">
        <f t="shared" si="32"/>
        <v>2023</v>
      </c>
      <c r="E390" s="4" t="str">
        <f t="shared" si="33"/>
        <v>Fri</v>
      </c>
      <c r="F390" s="4" t="str">
        <f t="shared" si="34"/>
        <v>Dec</v>
      </c>
      <c r="G390" s="3">
        <v>45261</v>
      </c>
      <c r="H390" s="4" t="s">
        <v>607</v>
      </c>
      <c r="I390" s="4" t="s">
        <v>4</v>
      </c>
      <c r="J390" s="4" t="str" cm="1">
        <f t="array" ref="J390">_xlfn.IFS(K390&gt;=50, "Senior", K390&gt;=30, "Adult", K390&lt;30,"Young Adult")</f>
        <v>Adult</v>
      </c>
      <c r="K390" s="4">
        <v>47</v>
      </c>
      <c r="L390" s="4" t="s">
        <v>7</v>
      </c>
      <c r="M390" s="4">
        <v>2</v>
      </c>
      <c r="N390" s="22">
        <v>25</v>
      </c>
      <c r="O390" s="24">
        <f>M390 * N390</f>
        <v>50</v>
      </c>
      <c r="P390" s="16">
        <f>O390 * $S$3</f>
        <v>0.75</v>
      </c>
      <c r="Q390" s="16">
        <f>O390 * $S$4</f>
        <v>1</v>
      </c>
    </row>
    <row r="391" spans="1:17">
      <c r="A391" s="2">
        <v>390</v>
      </c>
      <c r="B391" s="4">
        <f t="shared" si="30"/>
        <v>28</v>
      </c>
      <c r="C391" s="4">
        <f t="shared" si="31"/>
        <v>9</v>
      </c>
      <c r="D391" s="4">
        <f t="shared" si="32"/>
        <v>2023</v>
      </c>
      <c r="E391" s="4" t="str">
        <f t="shared" si="33"/>
        <v>Thu</v>
      </c>
      <c r="F391" s="4" t="str">
        <f t="shared" si="34"/>
        <v>Sep</v>
      </c>
      <c r="G391" s="3">
        <v>45197</v>
      </c>
      <c r="H391" s="4" t="s">
        <v>608</v>
      </c>
      <c r="I391" s="4" t="s">
        <v>4</v>
      </c>
      <c r="J391" s="4" t="str" cm="1">
        <f t="array" ref="J391">_xlfn.IFS(K391&gt;=50, "Senior", K391&gt;=30, "Adult", K391&lt;30,"Young Adult")</f>
        <v>Adult</v>
      </c>
      <c r="K391" s="4">
        <v>47</v>
      </c>
      <c r="L391" s="4" t="s">
        <v>8</v>
      </c>
      <c r="M391" s="4">
        <v>2</v>
      </c>
      <c r="N391" s="22">
        <v>50</v>
      </c>
      <c r="O391" s="24">
        <f>M391 * N391</f>
        <v>100</v>
      </c>
      <c r="P391" s="16">
        <f>O391 * $S$3</f>
        <v>1.5</v>
      </c>
      <c r="Q391" s="16">
        <f>O391 * $S$4</f>
        <v>2</v>
      </c>
    </row>
    <row r="392" spans="1:17">
      <c r="A392" s="2">
        <v>391</v>
      </c>
      <c r="B392" s="4">
        <f t="shared" si="30"/>
        <v>5</v>
      </c>
      <c r="C392" s="4">
        <f t="shared" si="31"/>
        <v>1</v>
      </c>
      <c r="D392" s="4">
        <f t="shared" si="32"/>
        <v>2023</v>
      </c>
      <c r="E392" s="4" t="str">
        <f t="shared" si="33"/>
        <v>Thu</v>
      </c>
      <c r="F392" s="4" t="str">
        <f t="shared" si="34"/>
        <v>Jan</v>
      </c>
      <c r="G392" s="3">
        <v>44931</v>
      </c>
      <c r="H392" s="4" t="s">
        <v>609</v>
      </c>
      <c r="I392" s="4" t="s">
        <v>4</v>
      </c>
      <c r="J392" s="4" t="str" cm="1">
        <f t="array" ref="J392">_xlfn.IFS(K392&gt;=50, "Senior", K392&gt;=30, "Adult", K392&lt;30,"Young Adult")</f>
        <v>Adult</v>
      </c>
      <c r="K392" s="4">
        <v>47</v>
      </c>
      <c r="L392" s="4" t="s">
        <v>6</v>
      </c>
      <c r="M392" s="4">
        <v>2</v>
      </c>
      <c r="N392" s="22">
        <v>25</v>
      </c>
      <c r="O392" s="24">
        <f>M392 * N392</f>
        <v>50</v>
      </c>
      <c r="P392" s="16">
        <f>O392 * $S$3</f>
        <v>0.75</v>
      </c>
      <c r="Q392" s="16">
        <f>O392 * $S$4</f>
        <v>1</v>
      </c>
    </row>
    <row r="393" spans="1:17">
      <c r="A393" s="2">
        <v>392</v>
      </c>
      <c r="B393" s="4">
        <f t="shared" si="30"/>
        <v>8</v>
      </c>
      <c r="C393" s="4">
        <f t="shared" si="31"/>
        <v>12</v>
      </c>
      <c r="D393" s="4">
        <f t="shared" si="32"/>
        <v>2023</v>
      </c>
      <c r="E393" s="4" t="str">
        <f t="shared" si="33"/>
        <v>Fri</v>
      </c>
      <c r="F393" s="4" t="str">
        <f t="shared" si="34"/>
        <v>Dec</v>
      </c>
      <c r="G393" s="3">
        <v>45268</v>
      </c>
      <c r="H393" s="4" t="s">
        <v>610</v>
      </c>
      <c r="I393" s="4" t="s">
        <v>4</v>
      </c>
      <c r="J393" s="4" t="str" cm="1">
        <f t="array" ref="J393">_xlfn.IFS(K393&gt;=50, "Senior", K393&gt;=30, "Adult", K393&lt;30,"Young Adult")</f>
        <v>Adult</v>
      </c>
      <c r="K393" s="4">
        <v>47</v>
      </c>
      <c r="L393" s="4" t="s">
        <v>7</v>
      </c>
      <c r="M393" s="4">
        <v>2</v>
      </c>
      <c r="N393" s="22">
        <v>300</v>
      </c>
      <c r="O393" s="24">
        <f>M393 * N393</f>
        <v>600</v>
      </c>
      <c r="P393" s="16">
        <f>O393 * $S$3</f>
        <v>9</v>
      </c>
      <c r="Q393" s="16">
        <f>O393 * $S$4</f>
        <v>12</v>
      </c>
    </row>
    <row r="394" spans="1:17">
      <c r="A394" s="2">
        <v>393</v>
      </c>
      <c r="B394" s="4">
        <f t="shared" si="30"/>
        <v>11</v>
      </c>
      <c r="C394" s="4">
        <f t="shared" si="31"/>
        <v>10</v>
      </c>
      <c r="D394" s="4">
        <f t="shared" si="32"/>
        <v>2023</v>
      </c>
      <c r="E394" s="4" t="str">
        <f t="shared" si="33"/>
        <v>Wed</v>
      </c>
      <c r="F394" s="4" t="str">
        <f t="shared" si="34"/>
        <v>Oct</v>
      </c>
      <c r="G394" s="3">
        <v>45210</v>
      </c>
      <c r="H394" s="4" t="s">
        <v>611</v>
      </c>
      <c r="I394" s="4" t="s">
        <v>3</v>
      </c>
      <c r="J394" s="4" t="str" cm="1">
        <f t="array" ref="J394">_xlfn.IFS(K394&gt;=50, "Senior", K394&gt;=30, "Adult", K394&lt;30,"Young Adult")</f>
        <v>Adult</v>
      </c>
      <c r="K394" s="4">
        <v>47</v>
      </c>
      <c r="L394" s="4" t="s">
        <v>6</v>
      </c>
      <c r="M394" s="4">
        <v>2</v>
      </c>
      <c r="N394" s="22">
        <v>500</v>
      </c>
      <c r="O394" s="24">
        <f>M394 * N394</f>
        <v>1000</v>
      </c>
      <c r="P394" s="16">
        <f>O394 * $S$3</f>
        <v>15</v>
      </c>
      <c r="Q394" s="16">
        <f>O394 * $S$4</f>
        <v>20</v>
      </c>
    </row>
    <row r="395" spans="1:17">
      <c r="A395" s="2">
        <v>394</v>
      </c>
      <c r="B395" s="4">
        <f t="shared" si="30"/>
        <v>3</v>
      </c>
      <c r="C395" s="4">
        <f t="shared" si="31"/>
        <v>6</v>
      </c>
      <c r="D395" s="4">
        <f t="shared" si="32"/>
        <v>2023</v>
      </c>
      <c r="E395" s="4" t="str">
        <f t="shared" si="33"/>
        <v>Sat</v>
      </c>
      <c r="F395" s="4" t="str">
        <f t="shared" si="34"/>
        <v>Jun</v>
      </c>
      <c r="G395" s="3">
        <v>45080</v>
      </c>
      <c r="H395" s="4" t="s">
        <v>612</v>
      </c>
      <c r="I395" s="4" t="s">
        <v>3</v>
      </c>
      <c r="J395" s="4" t="str" cm="1">
        <f t="array" ref="J395">_xlfn.IFS(K395&gt;=50, "Senior", K395&gt;=30, "Adult", K395&lt;30,"Young Adult")</f>
        <v>Adult</v>
      </c>
      <c r="K395" s="4">
        <v>47</v>
      </c>
      <c r="L395" s="4" t="s">
        <v>7</v>
      </c>
      <c r="M395" s="4">
        <v>1</v>
      </c>
      <c r="N395" s="22">
        <v>500</v>
      </c>
      <c r="O395" s="24">
        <f>M395 * N395</f>
        <v>500</v>
      </c>
      <c r="P395" s="16">
        <f>O395 * $S$3</f>
        <v>7.5</v>
      </c>
      <c r="Q395" s="16">
        <f>O395 * $S$4</f>
        <v>10</v>
      </c>
    </row>
    <row r="396" spans="1:17">
      <c r="A396" s="2">
        <v>395</v>
      </c>
      <c r="B396" s="4">
        <f t="shared" si="30"/>
        <v>6</v>
      </c>
      <c r="C396" s="4">
        <f t="shared" si="31"/>
        <v>12</v>
      </c>
      <c r="D396" s="4">
        <f t="shared" si="32"/>
        <v>2023</v>
      </c>
      <c r="E396" s="4" t="str">
        <f t="shared" si="33"/>
        <v>Wed</v>
      </c>
      <c r="F396" s="4" t="str">
        <f t="shared" si="34"/>
        <v>Dec</v>
      </c>
      <c r="G396" s="3">
        <v>45266</v>
      </c>
      <c r="H396" s="4" t="s">
        <v>613</v>
      </c>
      <c r="I396" s="4" t="s">
        <v>4</v>
      </c>
      <c r="J396" s="4" t="str" cm="1">
        <f t="array" ref="J396">_xlfn.IFS(K396&gt;=50, "Senior", K396&gt;=30, "Adult", K396&lt;30,"Young Adult")</f>
        <v>Adult</v>
      </c>
      <c r="K396" s="4">
        <v>47</v>
      </c>
      <c r="L396" s="4" t="s">
        <v>8</v>
      </c>
      <c r="M396" s="4">
        <v>2</v>
      </c>
      <c r="N396" s="22">
        <v>500</v>
      </c>
      <c r="O396" s="24">
        <f>M396 * N396</f>
        <v>1000</v>
      </c>
      <c r="P396" s="16">
        <f>O396 * $S$3</f>
        <v>15</v>
      </c>
      <c r="Q396" s="16">
        <f>O396 * $S$4</f>
        <v>20</v>
      </c>
    </row>
    <row r="397" spans="1:17">
      <c r="A397" s="2">
        <v>396</v>
      </c>
      <c r="B397" s="4">
        <f t="shared" si="30"/>
        <v>23</v>
      </c>
      <c r="C397" s="4">
        <f t="shared" si="31"/>
        <v>2</v>
      </c>
      <c r="D397" s="4">
        <f t="shared" si="32"/>
        <v>2023</v>
      </c>
      <c r="E397" s="4" t="str">
        <f t="shared" si="33"/>
        <v>Thu</v>
      </c>
      <c r="F397" s="4" t="str">
        <f t="shared" si="34"/>
        <v>Feb</v>
      </c>
      <c r="G397" s="3">
        <v>44980</v>
      </c>
      <c r="H397" s="4" t="s">
        <v>614</v>
      </c>
      <c r="I397" s="4" t="s">
        <v>3</v>
      </c>
      <c r="J397" s="4" t="str" cm="1">
        <f t="array" ref="J397">_xlfn.IFS(K397&gt;=50, "Senior", K397&gt;=30, "Adult", K397&lt;30,"Young Adult")</f>
        <v>Adult</v>
      </c>
      <c r="K397" s="4">
        <v>47</v>
      </c>
      <c r="L397" s="4" t="s">
        <v>6</v>
      </c>
      <c r="M397" s="4">
        <v>1</v>
      </c>
      <c r="N397" s="22">
        <v>30</v>
      </c>
      <c r="O397" s="24">
        <f>M397 * N397</f>
        <v>30</v>
      </c>
      <c r="P397" s="16">
        <f>O397 * $S$3</f>
        <v>0.44999999999999996</v>
      </c>
      <c r="Q397" s="16">
        <f>O397 * $S$4</f>
        <v>0.6</v>
      </c>
    </row>
    <row r="398" spans="1:17">
      <c r="A398" s="2">
        <v>397</v>
      </c>
      <c r="B398" s="4">
        <f t="shared" si="30"/>
        <v>10</v>
      </c>
      <c r="C398" s="4">
        <f t="shared" si="31"/>
        <v>3</v>
      </c>
      <c r="D398" s="4">
        <f t="shared" si="32"/>
        <v>2023</v>
      </c>
      <c r="E398" s="4" t="str">
        <f t="shared" si="33"/>
        <v>Fri</v>
      </c>
      <c r="F398" s="4" t="str">
        <f t="shared" si="34"/>
        <v>Mar</v>
      </c>
      <c r="G398" s="3">
        <v>44995</v>
      </c>
      <c r="H398" s="4" t="s">
        <v>143</v>
      </c>
      <c r="I398" s="4" t="s">
        <v>3</v>
      </c>
      <c r="J398" s="4" t="str" cm="1">
        <f t="array" ref="J398">_xlfn.IFS(K398&gt;=50, "Senior", K398&gt;=30, "Adult", K398&lt;30,"Young Adult")</f>
        <v>Adult</v>
      </c>
      <c r="K398" s="4">
        <v>47</v>
      </c>
      <c r="L398" s="4" t="s">
        <v>6</v>
      </c>
      <c r="M398" s="4">
        <v>1</v>
      </c>
      <c r="N398" s="22">
        <v>25</v>
      </c>
      <c r="O398" s="24">
        <f>M398 * N398</f>
        <v>25</v>
      </c>
      <c r="P398" s="16">
        <f>O398 * $S$3</f>
        <v>0.375</v>
      </c>
      <c r="Q398" s="16">
        <f>O398 * $S$4</f>
        <v>0.5</v>
      </c>
    </row>
    <row r="399" spans="1:17">
      <c r="A399" s="2">
        <v>398</v>
      </c>
      <c r="B399" s="4">
        <f t="shared" si="30"/>
        <v>16</v>
      </c>
      <c r="C399" s="4">
        <f t="shared" si="31"/>
        <v>5</v>
      </c>
      <c r="D399" s="4">
        <f t="shared" si="32"/>
        <v>2023</v>
      </c>
      <c r="E399" s="4" t="str">
        <f t="shared" si="33"/>
        <v>Tue</v>
      </c>
      <c r="F399" s="4" t="str">
        <f t="shared" si="34"/>
        <v>May</v>
      </c>
      <c r="G399" s="3">
        <v>45062</v>
      </c>
      <c r="H399" s="4" t="s">
        <v>274</v>
      </c>
      <c r="I399" s="4" t="s">
        <v>3</v>
      </c>
      <c r="J399" s="4" t="str" cm="1">
        <f t="array" ref="J399">_xlfn.IFS(K399&gt;=50, "Senior", K399&gt;=30, "Adult", K399&lt;30,"Young Adult")</f>
        <v>Adult</v>
      </c>
      <c r="K399" s="4">
        <v>47</v>
      </c>
      <c r="L399" s="4" t="s">
        <v>7</v>
      </c>
      <c r="M399" s="4">
        <v>2</v>
      </c>
      <c r="N399" s="22">
        <v>300</v>
      </c>
      <c r="O399" s="24">
        <f>M399 * N399</f>
        <v>600</v>
      </c>
      <c r="P399" s="16">
        <f>O399 * $S$3</f>
        <v>9</v>
      </c>
      <c r="Q399" s="16">
        <f>O399 * $S$4</f>
        <v>12</v>
      </c>
    </row>
    <row r="400" spans="1:17">
      <c r="A400" s="2">
        <v>399</v>
      </c>
      <c r="B400" s="4">
        <f t="shared" si="30"/>
        <v>1</v>
      </c>
      <c r="C400" s="4">
        <f t="shared" si="31"/>
        <v>3</v>
      </c>
      <c r="D400" s="4">
        <f t="shared" si="32"/>
        <v>2023</v>
      </c>
      <c r="E400" s="4" t="str">
        <f t="shared" si="33"/>
        <v>Wed</v>
      </c>
      <c r="F400" s="4" t="str">
        <f t="shared" si="34"/>
        <v>Mar</v>
      </c>
      <c r="G400" s="3">
        <v>44986</v>
      </c>
      <c r="H400" s="4" t="s">
        <v>615</v>
      </c>
      <c r="I400" s="4" t="s">
        <v>3</v>
      </c>
      <c r="J400" s="4" t="str" cm="1">
        <f t="array" ref="J400">_xlfn.IFS(K400&gt;=50, "Senior", K400&gt;=30, "Adult", K400&lt;30,"Young Adult")</f>
        <v>Adult</v>
      </c>
      <c r="K400" s="4">
        <v>47</v>
      </c>
      <c r="L400" s="4" t="s">
        <v>6</v>
      </c>
      <c r="M400" s="4">
        <v>2</v>
      </c>
      <c r="N400" s="22">
        <v>30</v>
      </c>
      <c r="O400" s="24">
        <f>M400 * N400</f>
        <v>60</v>
      </c>
      <c r="P400" s="16">
        <f>O400 * $S$3</f>
        <v>0.89999999999999991</v>
      </c>
      <c r="Q400" s="16">
        <f>O400 * $S$4</f>
        <v>1.2</v>
      </c>
    </row>
    <row r="401" spans="1:17">
      <c r="A401" s="2">
        <v>400</v>
      </c>
      <c r="B401" s="4">
        <f t="shared" si="30"/>
        <v>24</v>
      </c>
      <c r="C401" s="4">
        <f t="shared" si="31"/>
        <v>2</v>
      </c>
      <c r="D401" s="4">
        <f t="shared" si="32"/>
        <v>2023</v>
      </c>
      <c r="E401" s="4" t="str">
        <f t="shared" si="33"/>
        <v>Fri</v>
      </c>
      <c r="F401" s="4" t="str">
        <f t="shared" si="34"/>
        <v>Feb</v>
      </c>
      <c r="G401" s="3">
        <v>44981</v>
      </c>
      <c r="H401" s="4" t="s">
        <v>616</v>
      </c>
      <c r="I401" s="4" t="s">
        <v>4</v>
      </c>
      <c r="J401" s="4" t="str" cm="1">
        <f t="array" ref="J401">_xlfn.IFS(K401&gt;=50, "Senior", K401&gt;=30, "Adult", K401&lt;30,"Young Adult")</f>
        <v>Adult</v>
      </c>
      <c r="K401" s="4">
        <v>46</v>
      </c>
      <c r="L401" s="4" t="s">
        <v>7</v>
      </c>
      <c r="M401" s="4">
        <v>4</v>
      </c>
      <c r="N401" s="22">
        <v>50</v>
      </c>
      <c r="O401" s="24">
        <f>M401 * N401</f>
        <v>200</v>
      </c>
      <c r="P401" s="16">
        <f>O401 * $S$3</f>
        <v>3</v>
      </c>
      <c r="Q401" s="16">
        <f>O401 * $S$4</f>
        <v>4</v>
      </c>
    </row>
    <row r="402" spans="1:17">
      <c r="A402" s="2">
        <v>401</v>
      </c>
      <c r="B402" s="4">
        <f t="shared" si="30"/>
        <v>11</v>
      </c>
      <c r="C402" s="4">
        <f t="shared" si="31"/>
        <v>10</v>
      </c>
      <c r="D402" s="4">
        <f t="shared" si="32"/>
        <v>2023</v>
      </c>
      <c r="E402" s="4" t="str">
        <f t="shared" si="33"/>
        <v>Wed</v>
      </c>
      <c r="F402" s="4" t="str">
        <f t="shared" si="34"/>
        <v>Oct</v>
      </c>
      <c r="G402" s="3">
        <v>45210</v>
      </c>
      <c r="H402" s="4" t="s">
        <v>617</v>
      </c>
      <c r="I402" s="4" t="s">
        <v>3</v>
      </c>
      <c r="J402" s="4" t="str" cm="1">
        <f t="array" ref="J402">_xlfn.IFS(K402&gt;=50, "Senior", K402&gt;=30, "Adult", K402&lt;30,"Young Adult")</f>
        <v>Adult</v>
      </c>
      <c r="K402" s="4">
        <v>46</v>
      </c>
      <c r="L402" s="4" t="s">
        <v>7</v>
      </c>
      <c r="M402" s="4">
        <v>1</v>
      </c>
      <c r="N402" s="22">
        <v>300</v>
      </c>
      <c r="O402" s="24">
        <f>M402 * N402</f>
        <v>300</v>
      </c>
      <c r="P402" s="16">
        <f>O402 * $S$3</f>
        <v>4.5</v>
      </c>
      <c r="Q402" s="16">
        <f>O402 * $S$4</f>
        <v>6</v>
      </c>
    </row>
    <row r="403" spans="1:17">
      <c r="A403" s="2">
        <v>402</v>
      </c>
      <c r="B403" s="4">
        <f t="shared" si="30"/>
        <v>21</v>
      </c>
      <c r="C403" s="4">
        <f t="shared" si="31"/>
        <v>3</v>
      </c>
      <c r="D403" s="4">
        <f t="shared" si="32"/>
        <v>2023</v>
      </c>
      <c r="E403" s="4" t="str">
        <f t="shared" si="33"/>
        <v>Tue</v>
      </c>
      <c r="F403" s="4" t="str">
        <f t="shared" si="34"/>
        <v>Mar</v>
      </c>
      <c r="G403" s="3">
        <v>45006</v>
      </c>
      <c r="H403" s="4" t="s">
        <v>273</v>
      </c>
      <c r="I403" s="4" t="s">
        <v>3</v>
      </c>
      <c r="J403" s="4" t="str" cm="1">
        <f t="array" ref="J403">_xlfn.IFS(K403&gt;=50, "Senior", K403&gt;=30, "Adult", K403&lt;30,"Young Adult")</f>
        <v>Adult</v>
      </c>
      <c r="K403" s="4">
        <v>46</v>
      </c>
      <c r="L403" s="4" t="s">
        <v>7</v>
      </c>
      <c r="M403" s="4">
        <v>2</v>
      </c>
      <c r="N403" s="22">
        <v>300</v>
      </c>
      <c r="O403" s="24">
        <f>M403 * N403</f>
        <v>600</v>
      </c>
      <c r="P403" s="16">
        <f>O403 * $S$3</f>
        <v>9</v>
      </c>
      <c r="Q403" s="16">
        <f>O403 * $S$4</f>
        <v>12</v>
      </c>
    </row>
    <row r="404" spans="1:17">
      <c r="A404" s="2">
        <v>403</v>
      </c>
      <c r="B404" s="4">
        <f t="shared" si="30"/>
        <v>20</v>
      </c>
      <c r="C404" s="4">
        <f t="shared" si="31"/>
        <v>5</v>
      </c>
      <c r="D404" s="4">
        <f t="shared" si="32"/>
        <v>2023</v>
      </c>
      <c r="E404" s="4" t="str">
        <f t="shared" si="33"/>
        <v>Sat</v>
      </c>
      <c r="F404" s="4" t="str">
        <f t="shared" si="34"/>
        <v>May</v>
      </c>
      <c r="G404" s="3">
        <v>45066</v>
      </c>
      <c r="H404" s="4" t="s">
        <v>272</v>
      </c>
      <c r="I404" s="4" t="s">
        <v>4</v>
      </c>
      <c r="J404" s="4" t="str" cm="1">
        <f t="array" ref="J404">_xlfn.IFS(K404&gt;=50, "Senior", K404&gt;=30, "Adult", K404&lt;30,"Young Adult")</f>
        <v>Adult</v>
      </c>
      <c r="K404" s="4">
        <v>46</v>
      </c>
      <c r="L404" s="4" t="s">
        <v>7</v>
      </c>
      <c r="M404" s="4">
        <v>2</v>
      </c>
      <c r="N404" s="22">
        <v>300</v>
      </c>
      <c r="O404" s="24">
        <f>M404 * N404</f>
        <v>600</v>
      </c>
      <c r="P404" s="16">
        <f>O404 * $S$3</f>
        <v>9</v>
      </c>
      <c r="Q404" s="16">
        <f>O404 * $S$4</f>
        <v>12</v>
      </c>
    </row>
    <row r="405" spans="1:17">
      <c r="A405" s="2">
        <v>404</v>
      </c>
      <c r="B405" s="4">
        <f t="shared" si="30"/>
        <v>25</v>
      </c>
      <c r="C405" s="4">
        <f t="shared" si="31"/>
        <v>5</v>
      </c>
      <c r="D405" s="4">
        <f t="shared" si="32"/>
        <v>2023</v>
      </c>
      <c r="E405" s="4" t="str">
        <f t="shared" si="33"/>
        <v>Thu</v>
      </c>
      <c r="F405" s="4" t="str">
        <f t="shared" si="34"/>
        <v>May</v>
      </c>
      <c r="G405" s="3">
        <v>45071</v>
      </c>
      <c r="H405" s="4" t="s">
        <v>618</v>
      </c>
      <c r="I405" s="4" t="s">
        <v>4</v>
      </c>
      <c r="J405" s="4" t="str" cm="1">
        <f t="array" ref="J405">_xlfn.IFS(K405&gt;=50, "Senior", K405&gt;=30, "Adult", K405&lt;30,"Young Adult")</f>
        <v>Adult</v>
      </c>
      <c r="K405" s="4">
        <v>46</v>
      </c>
      <c r="L405" s="4" t="s">
        <v>8</v>
      </c>
      <c r="M405" s="4">
        <v>2</v>
      </c>
      <c r="N405" s="22">
        <v>500</v>
      </c>
      <c r="O405" s="24">
        <f>M405 * N405</f>
        <v>1000</v>
      </c>
      <c r="P405" s="16">
        <f>O405 * $S$3</f>
        <v>15</v>
      </c>
      <c r="Q405" s="16">
        <f>O405 * $S$4</f>
        <v>20</v>
      </c>
    </row>
    <row r="406" spans="1:17">
      <c r="A406" s="2">
        <v>405</v>
      </c>
      <c r="B406" s="4">
        <f t="shared" si="30"/>
        <v>6</v>
      </c>
      <c r="C406" s="4">
        <f t="shared" si="31"/>
        <v>11</v>
      </c>
      <c r="D406" s="4">
        <f t="shared" si="32"/>
        <v>2023</v>
      </c>
      <c r="E406" s="4" t="str">
        <f t="shared" si="33"/>
        <v>Mon</v>
      </c>
      <c r="F406" s="4" t="str">
        <f t="shared" si="34"/>
        <v>Nov</v>
      </c>
      <c r="G406" s="3">
        <v>45236</v>
      </c>
      <c r="H406" s="4" t="s">
        <v>619</v>
      </c>
      <c r="I406" s="4" t="s">
        <v>3</v>
      </c>
      <c r="J406" s="4" t="str" cm="1">
        <f t="array" ref="J406">_xlfn.IFS(K406&gt;=50, "Senior", K406&gt;=30, "Adult", K406&lt;30,"Young Adult")</f>
        <v>Adult</v>
      </c>
      <c r="K406" s="4">
        <v>46</v>
      </c>
      <c r="L406" s="4" t="s">
        <v>7</v>
      </c>
      <c r="M406" s="4">
        <v>4</v>
      </c>
      <c r="N406" s="22">
        <v>300</v>
      </c>
      <c r="O406" s="24">
        <f>M406 * N406</f>
        <v>1200</v>
      </c>
      <c r="P406" s="16">
        <f>O406 * $S$3</f>
        <v>18</v>
      </c>
      <c r="Q406" s="16">
        <f>O406 * $S$4</f>
        <v>24</v>
      </c>
    </row>
    <row r="407" spans="1:17">
      <c r="A407" s="2">
        <v>406</v>
      </c>
      <c r="B407" s="4">
        <f t="shared" si="30"/>
        <v>18</v>
      </c>
      <c r="C407" s="4">
        <f t="shared" si="31"/>
        <v>4</v>
      </c>
      <c r="D407" s="4">
        <f t="shared" si="32"/>
        <v>2023</v>
      </c>
      <c r="E407" s="4" t="str">
        <f t="shared" si="33"/>
        <v>Tue</v>
      </c>
      <c r="F407" s="4" t="str">
        <f t="shared" si="34"/>
        <v>Apr</v>
      </c>
      <c r="G407" s="3">
        <v>45034</v>
      </c>
      <c r="H407" s="4" t="s">
        <v>620</v>
      </c>
      <c r="I407" s="4" t="s">
        <v>3</v>
      </c>
      <c r="J407" s="4" t="str" cm="1">
        <f t="array" ref="J407">_xlfn.IFS(K407&gt;=50, "Senior", K407&gt;=30, "Adult", K407&lt;30,"Young Adult")</f>
        <v>Adult</v>
      </c>
      <c r="K407" s="4">
        <v>46</v>
      </c>
      <c r="L407" s="4" t="s">
        <v>6</v>
      </c>
      <c r="M407" s="4">
        <v>4</v>
      </c>
      <c r="N407" s="22">
        <v>25</v>
      </c>
      <c r="O407" s="24">
        <f>M407 * N407</f>
        <v>100</v>
      </c>
      <c r="P407" s="16">
        <f>O407 * $S$3</f>
        <v>1.5</v>
      </c>
      <c r="Q407" s="16">
        <f>O407 * $S$4</f>
        <v>2</v>
      </c>
    </row>
    <row r="408" spans="1:17">
      <c r="A408" s="2">
        <v>407</v>
      </c>
      <c r="B408" s="4">
        <f t="shared" si="30"/>
        <v>25</v>
      </c>
      <c r="C408" s="4">
        <f t="shared" si="31"/>
        <v>6</v>
      </c>
      <c r="D408" s="4">
        <f t="shared" si="32"/>
        <v>2023</v>
      </c>
      <c r="E408" s="4" t="str">
        <f t="shared" si="33"/>
        <v>Sun</v>
      </c>
      <c r="F408" s="4" t="str">
        <f t="shared" si="34"/>
        <v>Jun</v>
      </c>
      <c r="G408" s="3">
        <v>45102</v>
      </c>
      <c r="H408" s="4" t="s">
        <v>621</v>
      </c>
      <c r="I408" s="4" t="s">
        <v>3</v>
      </c>
      <c r="J408" s="4" t="str" cm="1">
        <f t="array" ref="J408">_xlfn.IFS(K408&gt;=50, "Senior", K408&gt;=30, "Adult", K408&lt;30,"Young Adult")</f>
        <v>Adult</v>
      </c>
      <c r="K408" s="4">
        <v>46</v>
      </c>
      <c r="L408" s="4" t="s">
        <v>8</v>
      </c>
      <c r="M408" s="4">
        <v>3</v>
      </c>
      <c r="N408" s="22">
        <v>300</v>
      </c>
      <c r="O408" s="24">
        <f>M408 * N408</f>
        <v>900</v>
      </c>
      <c r="P408" s="16">
        <f>O408 * $S$3</f>
        <v>13.5</v>
      </c>
      <c r="Q408" s="16">
        <f>O408 * $S$4</f>
        <v>18</v>
      </c>
    </row>
    <row r="409" spans="1:17">
      <c r="A409" s="2">
        <v>408</v>
      </c>
      <c r="B409" s="4">
        <f t="shared" si="30"/>
        <v>15</v>
      </c>
      <c r="C409" s="4">
        <f t="shared" si="31"/>
        <v>4</v>
      </c>
      <c r="D409" s="4">
        <f t="shared" si="32"/>
        <v>2023</v>
      </c>
      <c r="E409" s="4" t="str">
        <f t="shared" si="33"/>
        <v>Sat</v>
      </c>
      <c r="F409" s="4" t="str">
        <f t="shared" si="34"/>
        <v>Apr</v>
      </c>
      <c r="G409" s="3">
        <v>45031</v>
      </c>
      <c r="H409" s="4" t="s">
        <v>622</v>
      </c>
      <c r="I409" s="4" t="s">
        <v>3</v>
      </c>
      <c r="J409" s="4" t="str" cm="1">
        <f t="array" ref="J409">_xlfn.IFS(K409&gt;=50, "Senior", K409&gt;=30, "Adult", K409&lt;30,"Young Adult")</f>
        <v>Adult</v>
      </c>
      <c r="K409" s="4">
        <v>46</v>
      </c>
      <c r="L409" s="4" t="s">
        <v>6</v>
      </c>
      <c r="M409" s="4">
        <v>1</v>
      </c>
      <c r="N409" s="22">
        <v>500</v>
      </c>
      <c r="O409" s="24">
        <f>M409 * N409</f>
        <v>500</v>
      </c>
      <c r="P409" s="16">
        <f>O409 * $S$3</f>
        <v>7.5</v>
      </c>
      <c r="Q409" s="16">
        <f>O409 * $S$4</f>
        <v>10</v>
      </c>
    </row>
    <row r="410" spans="1:17">
      <c r="A410" s="2">
        <v>409</v>
      </c>
      <c r="B410" s="4">
        <f t="shared" si="30"/>
        <v>18</v>
      </c>
      <c r="C410" s="4">
        <f t="shared" si="31"/>
        <v>12</v>
      </c>
      <c r="D410" s="4">
        <f t="shared" si="32"/>
        <v>2023</v>
      </c>
      <c r="E410" s="4" t="str">
        <f t="shared" si="33"/>
        <v>Mon</v>
      </c>
      <c r="F410" s="4" t="str">
        <f t="shared" si="34"/>
        <v>Dec</v>
      </c>
      <c r="G410" s="3">
        <v>45278</v>
      </c>
      <c r="H410" s="4" t="s">
        <v>623</v>
      </c>
      <c r="I410" s="4" t="s">
        <v>3</v>
      </c>
      <c r="J410" s="4" t="str" cm="1">
        <f t="array" ref="J410">_xlfn.IFS(K410&gt;=50, "Senior", K410&gt;=30, "Adult", K410&lt;30,"Young Adult")</f>
        <v>Adult</v>
      </c>
      <c r="K410" s="4">
        <v>46</v>
      </c>
      <c r="L410" s="4" t="s">
        <v>8</v>
      </c>
      <c r="M410" s="4">
        <v>3</v>
      </c>
      <c r="N410" s="22">
        <v>300</v>
      </c>
      <c r="O410" s="24">
        <f>M410 * N410</f>
        <v>900</v>
      </c>
      <c r="P410" s="16">
        <f>O410 * $S$3</f>
        <v>13.5</v>
      </c>
      <c r="Q410" s="16">
        <f>O410 * $S$4</f>
        <v>18</v>
      </c>
    </row>
    <row r="411" spans="1:17">
      <c r="A411" s="2">
        <v>410</v>
      </c>
      <c r="B411" s="4">
        <f t="shared" si="30"/>
        <v>21</v>
      </c>
      <c r="C411" s="4">
        <f t="shared" si="31"/>
        <v>11</v>
      </c>
      <c r="D411" s="4">
        <f t="shared" si="32"/>
        <v>2023</v>
      </c>
      <c r="E411" s="4" t="str">
        <f t="shared" si="33"/>
        <v>Tue</v>
      </c>
      <c r="F411" s="4" t="str">
        <f t="shared" si="34"/>
        <v>Nov</v>
      </c>
      <c r="G411" s="3">
        <v>45251</v>
      </c>
      <c r="H411" s="4" t="s">
        <v>624</v>
      </c>
      <c r="I411" s="4" t="s">
        <v>3</v>
      </c>
      <c r="J411" s="4" t="str" cm="1">
        <f t="array" ref="J411">_xlfn.IFS(K411&gt;=50, "Senior", K411&gt;=30, "Adult", K411&lt;30,"Young Adult")</f>
        <v>Adult</v>
      </c>
      <c r="K411" s="4">
        <v>46</v>
      </c>
      <c r="L411" s="4" t="s">
        <v>7</v>
      </c>
      <c r="M411" s="4">
        <v>2</v>
      </c>
      <c r="N411" s="22">
        <v>50</v>
      </c>
      <c r="O411" s="24">
        <f>M411 * N411</f>
        <v>100</v>
      </c>
      <c r="P411" s="16">
        <f>O411 * $S$3</f>
        <v>1.5</v>
      </c>
      <c r="Q411" s="16">
        <f>O411 * $S$4</f>
        <v>2</v>
      </c>
    </row>
    <row r="412" spans="1:17">
      <c r="A412" s="2">
        <v>411</v>
      </c>
      <c r="B412" s="4">
        <f t="shared" si="30"/>
        <v>16</v>
      </c>
      <c r="C412" s="4">
        <f t="shared" si="31"/>
        <v>5</v>
      </c>
      <c r="D412" s="4">
        <f t="shared" si="32"/>
        <v>2023</v>
      </c>
      <c r="E412" s="4" t="str">
        <f t="shared" si="33"/>
        <v>Tue</v>
      </c>
      <c r="F412" s="4" t="str">
        <f t="shared" si="34"/>
        <v>May</v>
      </c>
      <c r="G412" s="3">
        <v>45062</v>
      </c>
      <c r="H412" s="4" t="s">
        <v>625</v>
      </c>
      <c r="I412" s="4" t="s">
        <v>4</v>
      </c>
      <c r="J412" s="4" t="str" cm="1">
        <f t="array" ref="J412">_xlfn.IFS(K412&gt;=50, "Senior", K412&gt;=30, "Adult", K412&lt;30,"Young Adult")</f>
        <v>Adult</v>
      </c>
      <c r="K412" s="4">
        <v>46</v>
      </c>
      <c r="L412" s="4" t="s">
        <v>8</v>
      </c>
      <c r="M412" s="4">
        <v>4</v>
      </c>
      <c r="N412" s="22">
        <v>50</v>
      </c>
      <c r="O412" s="24">
        <f>M412 * N412</f>
        <v>200</v>
      </c>
      <c r="P412" s="16">
        <f>O412 * $S$3</f>
        <v>3</v>
      </c>
      <c r="Q412" s="16">
        <f>O412 * $S$4</f>
        <v>4</v>
      </c>
    </row>
    <row r="413" spans="1:17">
      <c r="A413" s="2">
        <v>412</v>
      </c>
      <c r="B413" s="4">
        <f t="shared" si="30"/>
        <v>16</v>
      </c>
      <c r="C413" s="4">
        <f t="shared" si="31"/>
        <v>9</v>
      </c>
      <c r="D413" s="4">
        <f t="shared" si="32"/>
        <v>2023</v>
      </c>
      <c r="E413" s="4" t="str">
        <f t="shared" si="33"/>
        <v>Sat</v>
      </c>
      <c r="F413" s="4" t="str">
        <f t="shared" si="34"/>
        <v>Sep</v>
      </c>
      <c r="G413" s="3">
        <v>45185</v>
      </c>
      <c r="H413" s="4" t="s">
        <v>626</v>
      </c>
      <c r="I413" s="4" t="s">
        <v>3</v>
      </c>
      <c r="J413" s="4" t="str" cm="1">
        <f t="array" ref="J413">_xlfn.IFS(K413&gt;=50, "Senior", K413&gt;=30, "Adult", K413&lt;30,"Young Adult")</f>
        <v>Adult</v>
      </c>
      <c r="K413" s="4">
        <v>46</v>
      </c>
      <c r="L413" s="4" t="s">
        <v>8</v>
      </c>
      <c r="M413" s="4">
        <v>4</v>
      </c>
      <c r="N413" s="22">
        <v>500</v>
      </c>
      <c r="O413" s="24">
        <f>M413 * N413</f>
        <v>2000</v>
      </c>
      <c r="P413" s="16">
        <f>O413 * $S$3</f>
        <v>30</v>
      </c>
      <c r="Q413" s="16">
        <f>O413 * $S$4</f>
        <v>40</v>
      </c>
    </row>
    <row r="414" spans="1:17">
      <c r="A414" s="2">
        <v>413</v>
      </c>
      <c r="B414" s="4">
        <f t="shared" si="30"/>
        <v>8</v>
      </c>
      <c r="C414" s="4">
        <f t="shared" si="31"/>
        <v>9</v>
      </c>
      <c r="D414" s="4">
        <f t="shared" si="32"/>
        <v>2023</v>
      </c>
      <c r="E414" s="4" t="str">
        <f t="shared" si="33"/>
        <v>Fri</v>
      </c>
      <c r="F414" s="4" t="str">
        <f t="shared" si="34"/>
        <v>Sep</v>
      </c>
      <c r="G414" s="3">
        <v>45177</v>
      </c>
      <c r="H414" s="4" t="s">
        <v>142</v>
      </c>
      <c r="I414" s="4" t="s">
        <v>3</v>
      </c>
      <c r="J414" s="4" t="str" cm="1">
        <f t="array" ref="J414">_xlfn.IFS(K414&gt;=50, "Senior", K414&gt;=30, "Adult", K414&lt;30,"Young Adult")</f>
        <v>Adult</v>
      </c>
      <c r="K414" s="4">
        <v>46</v>
      </c>
      <c r="L414" s="4" t="s">
        <v>6</v>
      </c>
      <c r="M414" s="4">
        <v>3</v>
      </c>
      <c r="N414" s="22">
        <v>25</v>
      </c>
      <c r="O414" s="24">
        <f>M414 * N414</f>
        <v>75</v>
      </c>
      <c r="P414" s="16">
        <f>O414 * $S$3</f>
        <v>1.125</v>
      </c>
      <c r="Q414" s="16">
        <f>O414 * $S$4</f>
        <v>1.5</v>
      </c>
    </row>
    <row r="415" spans="1:17">
      <c r="A415" s="2">
        <v>414</v>
      </c>
      <c r="B415" s="4">
        <f t="shared" si="30"/>
        <v>9</v>
      </c>
      <c r="C415" s="4">
        <f t="shared" si="31"/>
        <v>5</v>
      </c>
      <c r="D415" s="4">
        <f t="shared" si="32"/>
        <v>2023</v>
      </c>
      <c r="E415" s="4" t="str">
        <f t="shared" si="33"/>
        <v>Tue</v>
      </c>
      <c r="F415" s="4" t="str">
        <f t="shared" si="34"/>
        <v>May</v>
      </c>
      <c r="G415" s="3">
        <v>45055</v>
      </c>
      <c r="H415" s="4" t="s">
        <v>141</v>
      </c>
      <c r="I415" s="4" t="s">
        <v>4</v>
      </c>
      <c r="J415" s="4" t="str" cm="1">
        <f t="array" ref="J415">_xlfn.IFS(K415&gt;=50, "Senior", K415&gt;=30, "Adult", K415&lt;30,"Young Adult")</f>
        <v>Adult</v>
      </c>
      <c r="K415" s="4">
        <v>46</v>
      </c>
      <c r="L415" s="4" t="s">
        <v>6</v>
      </c>
      <c r="M415" s="4">
        <v>4</v>
      </c>
      <c r="N415" s="22">
        <v>25</v>
      </c>
      <c r="O415" s="24">
        <f>M415 * N415</f>
        <v>100</v>
      </c>
      <c r="P415" s="16">
        <f>O415 * $S$3</f>
        <v>1.5</v>
      </c>
      <c r="Q415" s="16">
        <f>O415 * $S$4</f>
        <v>2</v>
      </c>
    </row>
    <row r="416" spans="1:17">
      <c r="A416" s="2">
        <v>415</v>
      </c>
      <c r="B416" s="4">
        <f t="shared" si="30"/>
        <v>27</v>
      </c>
      <c r="C416" s="4">
        <f t="shared" si="31"/>
        <v>1</v>
      </c>
      <c r="D416" s="4">
        <f t="shared" si="32"/>
        <v>2023</v>
      </c>
      <c r="E416" s="4" t="str">
        <f t="shared" si="33"/>
        <v>Fri</v>
      </c>
      <c r="F416" s="4" t="str">
        <f t="shared" si="34"/>
        <v>Jan</v>
      </c>
      <c r="G416" s="3">
        <v>44953</v>
      </c>
      <c r="H416" s="4" t="s">
        <v>627</v>
      </c>
      <c r="I416" s="4" t="s">
        <v>4</v>
      </c>
      <c r="J416" s="4" t="str" cm="1">
        <f t="array" ref="J416">_xlfn.IFS(K416&gt;=50, "Senior", K416&gt;=30, "Adult", K416&lt;30,"Young Adult")</f>
        <v>Adult</v>
      </c>
      <c r="K416" s="4">
        <v>46</v>
      </c>
      <c r="L416" s="4" t="s">
        <v>7</v>
      </c>
      <c r="M416" s="4">
        <v>2</v>
      </c>
      <c r="N416" s="22">
        <v>30</v>
      </c>
      <c r="O416" s="24">
        <f>M416 * N416</f>
        <v>60</v>
      </c>
      <c r="P416" s="16">
        <f>O416 * $S$3</f>
        <v>0.89999999999999991</v>
      </c>
      <c r="Q416" s="16">
        <f>O416 * $S$4</f>
        <v>1.2</v>
      </c>
    </row>
    <row r="417" spans="1:17">
      <c r="A417" s="2">
        <v>416</v>
      </c>
      <c r="B417" s="4">
        <f t="shared" si="30"/>
        <v>17</v>
      </c>
      <c r="C417" s="4">
        <f t="shared" si="31"/>
        <v>2</v>
      </c>
      <c r="D417" s="4">
        <f t="shared" si="32"/>
        <v>2023</v>
      </c>
      <c r="E417" s="4" t="str">
        <f t="shared" si="33"/>
        <v>Fri</v>
      </c>
      <c r="F417" s="4" t="str">
        <f t="shared" si="34"/>
        <v>Feb</v>
      </c>
      <c r="G417" s="3">
        <v>44974</v>
      </c>
      <c r="H417" s="4" t="s">
        <v>628</v>
      </c>
      <c r="I417" s="4" t="s">
        <v>4</v>
      </c>
      <c r="J417" s="4" t="str" cm="1">
        <f t="array" ref="J417">_xlfn.IFS(K417&gt;=50, "Senior", K417&gt;=30, "Adult", K417&lt;30,"Young Adult")</f>
        <v>Adult</v>
      </c>
      <c r="K417" s="4">
        <v>46</v>
      </c>
      <c r="L417" s="4" t="s">
        <v>8</v>
      </c>
      <c r="M417" s="4">
        <v>4</v>
      </c>
      <c r="N417" s="22">
        <v>500</v>
      </c>
      <c r="O417" s="24">
        <f>M417 * N417</f>
        <v>2000</v>
      </c>
      <c r="P417" s="16">
        <f>O417 * $S$3</f>
        <v>30</v>
      </c>
      <c r="Q417" s="16">
        <f>O417 * $S$4</f>
        <v>40</v>
      </c>
    </row>
    <row r="418" spans="1:17">
      <c r="A418" s="2">
        <v>417</v>
      </c>
      <c r="B418" s="4">
        <f t="shared" si="30"/>
        <v>21</v>
      </c>
      <c r="C418" s="4">
        <f t="shared" si="31"/>
        <v>11</v>
      </c>
      <c r="D418" s="4">
        <f t="shared" si="32"/>
        <v>2023</v>
      </c>
      <c r="E418" s="4" t="str">
        <f t="shared" si="33"/>
        <v>Tue</v>
      </c>
      <c r="F418" s="4" t="str">
        <f t="shared" si="34"/>
        <v>Nov</v>
      </c>
      <c r="G418" s="3">
        <v>45251</v>
      </c>
      <c r="H418" s="4" t="s">
        <v>629</v>
      </c>
      <c r="I418" s="4" t="s">
        <v>4</v>
      </c>
      <c r="J418" s="4" t="str" cm="1">
        <f t="array" ref="J418">_xlfn.IFS(K418&gt;=50, "Senior", K418&gt;=30, "Adult", K418&lt;30,"Young Adult")</f>
        <v>Adult</v>
      </c>
      <c r="K418" s="4">
        <v>46</v>
      </c>
      <c r="L418" s="4" t="s">
        <v>8</v>
      </c>
      <c r="M418" s="4">
        <v>3</v>
      </c>
      <c r="N418" s="22">
        <v>300</v>
      </c>
      <c r="O418" s="24">
        <f>M418 * N418</f>
        <v>900</v>
      </c>
      <c r="P418" s="16">
        <f>O418 * $S$3</f>
        <v>13.5</v>
      </c>
      <c r="Q418" s="16">
        <f>O418 * $S$4</f>
        <v>18</v>
      </c>
    </row>
    <row r="419" spans="1:17">
      <c r="A419" s="2">
        <v>418</v>
      </c>
      <c r="B419" s="4">
        <f t="shared" si="30"/>
        <v>5</v>
      </c>
      <c r="C419" s="4">
        <f t="shared" si="31"/>
        <v>8</v>
      </c>
      <c r="D419" s="4">
        <f t="shared" si="32"/>
        <v>2023</v>
      </c>
      <c r="E419" s="4" t="str">
        <f t="shared" si="33"/>
        <v>Sat</v>
      </c>
      <c r="F419" s="4" t="str">
        <f t="shared" si="34"/>
        <v>Aug</v>
      </c>
      <c r="G419" s="3">
        <v>45143</v>
      </c>
      <c r="H419" s="4" t="s">
        <v>630</v>
      </c>
      <c r="I419" s="4" t="s">
        <v>3</v>
      </c>
      <c r="J419" s="4" t="str" cm="1">
        <f t="array" ref="J419">_xlfn.IFS(K419&gt;=50, "Senior", K419&gt;=30, "Adult", K419&lt;30,"Young Adult")</f>
        <v>Adult</v>
      </c>
      <c r="K419" s="4">
        <v>46</v>
      </c>
      <c r="L419" s="4" t="s">
        <v>8</v>
      </c>
      <c r="M419" s="4">
        <v>2</v>
      </c>
      <c r="N419" s="22">
        <v>500</v>
      </c>
      <c r="O419" s="24">
        <f>M419 * N419</f>
        <v>1000</v>
      </c>
      <c r="P419" s="16">
        <f>O419 * $S$3</f>
        <v>15</v>
      </c>
      <c r="Q419" s="16">
        <f>O419 * $S$4</f>
        <v>20</v>
      </c>
    </row>
    <row r="420" spans="1:17">
      <c r="A420" s="2">
        <v>419</v>
      </c>
      <c r="B420" s="4">
        <f t="shared" si="30"/>
        <v>22</v>
      </c>
      <c r="C420" s="4">
        <f t="shared" si="31"/>
        <v>5</v>
      </c>
      <c r="D420" s="4">
        <f t="shared" si="32"/>
        <v>2023</v>
      </c>
      <c r="E420" s="4" t="str">
        <f t="shared" si="33"/>
        <v>Mon</v>
      </c>
      <c r="F420" s="4" t="str">
        <f t="shared" si="34"/>
        <v>May</v>
      </c>
      <c r="G420" s="3">
        <v>45068</v>
      </c>
      <c r="H420" s="4" t="s">
        <v>271</v>
      </c>
      <c r="I420" s="4" t="s">
        <v>3</v>
      </c>
      <c r="J420" s="4" t="str" cm="1">
        <f t="array" ref="J420">_xlfn.IFS(K420&gt;=50, "Senior", K420&gt;=30, "Adult", K420&lt;30,"Young Adult")</f>
        <v>Adult</v>
      </c>
      <c r="K420" s="4">
        <v>46</v>
      </c>
      <c r="L420" s="4" t="s">
        <v>7</v>
      </c>
      <c r="M420" s="4">
        <v>3</v>
      </c>
      <c r="N420" s="22">
        <v>30</v>
      </c>
      <c r="O420" s="24">
        <f>M420 * N420</f>
        <v>90</v>
      </c>
      <c r="P420" s="16">
        <f>O420 * $S$3</f>
        <v>1.3499999999999999</v>
      </c>
      <c r="Q420" s="16">
        <f>O420 * $S$4</f>
        <v>1.8</v>
      </c>
    </row>
    <row r="421" spans="1:17">
      <c r="A421" s="2">
        <v>420</v>
      </c>
      <c r="B421" s="4">
        <f t="shared" si="30"/>
        <v>23</v>
      </c>
      <c r="C421" s="4">
        <f t="shared" si="31"/>
        <v>1</v>
      </c>
      <c r="D421" s="4">
        <f t="shared" si="32"/>
        <v>2023</v>
      </c>
      <c r="E421" s="4" t="str">
        <f t="shared" si="33"/>
        <v>Mon</v>
      </c>
      <c r="F421" s="4" t="str">
        <f t="shared" si="34"/>
        <v>Jan</v>
      </c>
      <c r="G421" s="3">
        <v>44949</v>
      </c>
      <c r="H421" s="4" t="s">
        <v>631</v>
      </c>
      <c r="I421" s="4" t="s">
        <v>3</v>
      </c>
      <c r="J421" s="4" t="str" cm="1">
        <f t="array" ref="J421">_xlfn.IFS(K421&gt;=50, "Senior", K421&gt;=30, "Adult", K421&lt;30,"Young Adult")</f>
        <v>Adult</v>
      </c>
      <c r="K421" s="4">
        <v>46</v>
      </c>
      <c r="L421" s="4" t="s">
        <v>7</v>
      </c>
      <c r="M421" s="4">
        <v>4</v>
      </c>
      <c r="N421" s="22">
        <v>500</v>
      </c>
      <c r="O421" s="24">
        <f>M421 * N421</f>
        <v>2000</v>
      </c>
      <c r="P421" s="16">
        <f>O421 * $S$3</f>
        <v>30</v>
      </c>
      <c r="Q421" s="16">
        <f>O421 * $S$4</f>
        <v>40</v>
      </c>
    </row>
    <row r="422" spans="1:17">
      <c r="A422" s="2">
        <v>421</v>
      </c>
      <c r="B422" s="4">
        <f t="shared" si="30"/>
        <v>2</v>
      </c>
      <c r="C422" s="4">
        <f t="shared" si="31"/>
        <v>1</v>
      </c>
      <c r="D422" s="4">
        <f t="shared" si="32"/>
        <v>2023</v>
      </c>
      <c r="E422" s="4" t="str">
        <f t="shared" si="33"/>
        <v>Mon</v>
      </c>
      <c r="F422" s="4" t="str">
        <f t="shared" si="34"/>
        <v>Jan</v>
      </c>
      <c r="G422" s="3">
        <v>44928</v>
      </c>
      <c r="H422" s="4" t="s">
        <v>268</v>
      </c>
      <c r="I422" s="4" t="s">
        <v>3</v>
      </c>
      <c r="J422" s="4" t="str" cm="1">
        <f t="array" ref="J422">_xlfn.IFS(K422&gt;=50, "Senior", K422&gt;=30, "Adult", K422&lt;30,"Young Adult")</f>
        <v>Adult</v>
      </c>
      <c r="K422" s="4">
        <v>46</v>
      </c>
      <c r="L422" s="4" t="s">
        <v>7</v>
      </c>
      <c r="M422" s="4">
        <v>3</v>
      </c>
      <c r="N422" s="22">
        <v>500</v>
      </c>
      <c r="O422" s="24">
        <f>M422 * N422</f>
        <v>1500</v>
      </c>
      <c r="P422" s="16">
        <f>O422 * $S$3</f>
        <v>22.5</v>
      </c>
      <c r="Q422" s="16">
        <f>O422 * $S$4</f>
        <v>30</v>
      </c>
    </row>
    <row r="423" spans="1:17">
      <c r="A423" s="2">
        <v>422</v>
      </c>
      <c r="B423" s="4">
        <f t="shared" si="30"/>
        <v>20</v>
      </c>
      <c r="C423" s="4">
        <f t="shared" si="31"/>
        <v>6</v>
      </c>
      <c r="D423" s="4">
        <f t="shared" si="32"/>
        <v>2023</v>
      </c>
      <c r="E423" s="4" t="str">
        <f t="shared" si="33"/>
        <v>Tue</v>
      </c>
      <c r="F423" s="4" t="str">
        <f t="shared" si="34"/>
        <v>Jun</v>
      </c>
      <c r="G423" s="3">
        <v>45097</v>
      </c>
      <c r="H423" s="4" t="s">
        <v>632</v>
      </c>
      <c r="I423" s="4" t="s">
        <v>3</v>
      </c>
      <c r="J423" s="4" t="str" cm="1">
        <f t="array" ref="J423">_xlfn.IFS(K423&gt;=50, "Senior", K423&gt;=30, "Adult", K423&lt;30,"Young Adult")</f>
        <v>Adult</v>
      </c>
      <c r="K423" s="4">
        <v>46</v>
      </c>
      <c r="L423" s="4" t="s">
        <v>7</v>
      </c>
      <c r="M423" s="4">
        <v>3</v>
      </c>
      <c r="N423" s="22">
        <v>30</v>
      </c>
      <c r="O423" s="24">
        <f>M423 * N423</f>
        <v>90</v>
      </c>
      <c r="P423" s="16">
        <f>O423 * $S$3</f>
        <v>1.3499999999999999</v>
      </c>
      <c r="Q423" s="16">
        <f>O423 * $S$4</f>
        <v>1.8</v>
      </c>
    </row>
    <row r="424" spans="1:17">
      <c r="A424" s="2">
        <v>423</v>
      </c>
      <c r="B424" s="4">
        <f t="shared" si="30"/>
        <v>8</v>
      </c>
      <c r="C424" s="4">
        <f t="shared" si="31"/>
        <v>3</v>
      </c>
      <c r="D424" s="4">
        <f t="shared" si="32"/>
        <v>2023</v>
      </c>
      <c r="E424" s="4" t="str">
        <f t="shared" si="33"/>
        <v>Wed</v>
      </c>
      <c r="F424" s="4" t="str">
        <f t="shared" si="34"/>
        <v>Mar</v>
      </c>
      <c r="G424" s="3">
        <v>44993</v>
      </c>
      <c r="H424" s="4" t="s">
        <v>633</v>
      </c>
      <c r="I424" s="4" t="s">
        <v>3</v>
      </c>
      <c r="J424" s="4" t="str" cm="1">
        <f t="array" ref="J424">_xlfn.IFS(K424&gt;=50, "Senior", K424&gt;=30, "Adult", K424&lt;30,"Young Adult")</f>
        <v>Adult</v>
      </c>
      <c r="K424" s="4">
        <v>46</v>
      </c>
      <c r="L424" s="4" t="s">
        <v>7</v>
      </c>
      <c r="M424" s="4">
        <v>1</v>
      </c>
      <c r="N424" s="22">
        <v>25</v>
      </c>
      <c r="O424" s="24">
        <f>M424 * N424</f>
        <v>25</v>
      </c>
      <c r="P424" s="16">
        <f>O424 * $S$3</f>
        <v>0.375</v>
      </c>
      <c r="Q424" s="16">
        <f>O424 * $S$4</f>
        <v>0.5</v>
      </c>
    </row>
    <row r="425" spans="1:17">
      <c r="A425" s="2">
        <v>424</v>
      </c>
      <c r="B425" s="4">
        <f t="shared" si="30"/>
        <v>23</v>
      </c>
      <c r="C425" s="4">
        <f t="shared" si="31"/>
        <v>11</v>
      </c>
      <c r="D425" s="4">
        <f t="shared" si="32"/>
        <v>2023</v>
      </c>
      <c r="E425" s="4" t="str">
        <f t="shared" si="33"/>
        <v>Thu</v>
      </c>
      <c r="F425" s="4" t="str">
        <f t="shared" si="34"/>
        <v>Nov</v>
      </c>
      <c r="G425" s="3">
        <v>45253</v>
      </c>
      <c r="H425" s="4" t="s">
        <v>634</v>
      </c>
      <c r="I425" s="4" t="s">
        <v>4</v>
      </c>
      <c r="J425" s="4" t="str" cm="1">
        <f t="array" ref="J425">_xlfn.IFS(K425&gt;=50, "Senior", K425&gt;=30, "Adult", K425&lt;30,"Young Adult")</f>
        <v>Adult</v>
      </c>
      <c r="K425" s="4">
        <v>46</v>
      </c>
      <c r="L425" s="4" t="s">
        <v>6</v>
      </c>
      <c r="M425" s="4">
        <v>4</v>
      </c>
      <c r="N425" s="22">
        <v>300</v>
      </c>
      <c r="O425" s="24">
        <f>M425 * N425</f>
        <v>1200</v>
      </c>
      <c r="P425" s="16">
        <f>O425 * $S$3</f>
        <v>18</v>
      </c>
      <c r="Q425" s="16">
        <f>O425 * $S$4</f>
        <v>24</v>
      </c>
    </row>
    <row r="426" spans="1:17">
      <c r="A426" s="2">
        <v>425</v>
      </c>
      <c r="B426" s="4">
        <f t="shared" si="30"/>
        <v>15</v>
      </c>
      <c r="C426" s="4">
        <f t="shared" si="31"/>
        <v>5</v>
      </c>
      <c r="D426" s="4">
        <f t="shared" si="32"/>
        <v>2023</v>
      </c>
      <c r="E426" s="4" t="str">
        <f t="shared" si="33"/>
        <v>Mon</v>
      </c>
      <c r="F426" s="4" t="str">
        <f t="shared" si="34"/>
        <v>May</v>
      </c>
      <c r="G426" s="3">
        <v>45061</v>
      </c>
      <c r="H426" s="4" t="s">
        <v>635</v>
      </c>
      <c r="I426" s="4" t="s">
        <v>3</v>
      </c>
      <c r="J426" s="4" t="str" cm="1">
        <f t="array" ref="J426">_xlfn.IFS(K426&gt;=50, "Senior", K426&gt;=30, "Adult", K426&lt;30,"Young Adult")</f>
        <v>Adult</v>
      </c>
      <c r="K426" s="4">
        <v>45</v>
      </c>
      <c r="L426" s="4" t="s">
        <v>8</v>
      </c>
      <c r="M426" s="4">
        <v>4</v>
      </c>
      <c r="N426" s="22">
        <v>30</v>
      </c>
      <c r="O426" s="24">
        <f>M426 * N426</f>
        <v>120</v>
      </c>
      <c r="P426" s="16">
        <f>O426 * $S$3</f>
        <v>1.7999999999999998</v>
      </c>
      <c r="Q426" s="16">
        <f>O426 * $S$4</f>
        <v>2.4</v>
      </c>
    </row>
    <row r="427" spans="1:17">
      <c r="A427" s="2">
        <v>426</v>
      </c>
      <c r="B427" s="4">
        <f t="shared" si="30"/>
        <v>24</v>
      </c>
      <c r="C427" s="4">
        <f t="shared" si="31"/>
        <v>3</v>
      </c>
      <c r="D427" s="4">
        <f t="shared" si="32"/>
        <v>2023</v>
      </c>
      <c r="E427" s="4" t="str">
        <f t="shared" si="33"/>
        <v>Fri</v>
      </c>
      <c r="F427" s="4" t="str">
        <f t="shared" si="34"/>
        <v>Mar</v>
      </c>
      <c r="G427" s="3">
        <v>45009</v>
      </c>
      <c r="H427" s="4" t="s">
        <v>636</v>
      </c>
      <c r="I427" s="4" t="s">
        <v>4</v>
      </c>
      <c r="J427" s="4" t="str" cm="1">
        <f t="array" ref="J427">_xlfn.IFS(K427&gt;=50, "Senior", K427&gt;=30, "Adult", K427&lt;30,"Young Adult")</f>
        <v>Adult</v>
      </c>
      <c r="K427" s="4">
        <v>45</v>
      </c>
      <c r="L427" s="4" t="s">
        <v>8</v>
      </c>
      <c r="M427" s="4">
        <v>3</v>
      </c>
      <c r="N427" s="22">
        <v>50</v>
      </c>
      <c r="O427" s="24">
        <f>M427 * N427</f>
        <v>150</v>
      </c>
      <c r="P427" s="16">
        <f>O427 * $S$3</f>
        <v>2.25</v>
      </c>
      <c r="Q427" s="16">
        <f>O427 * $S$4</f>
        <v>3</v>
      </c>
    </row>
    <row r="428" spans="1:17">
      <c r="A428" s="2">
        <v>427</v>
      </c>
      <c r="B428" s="4">
        <f t="shared" si="30"/>
        <v>15</v>
      </c>
      <c r="C428" s="4">
        <f t="shared" si="31"/>
        <v>8</v>
      </c>
      <c r="D428" s="4">
        <f t="shared" si="32"/>
        <v>2023</v>
      </c>
      <c r="E428" s="4" t="str">
        <f t="shared" si="33"/>
        <v>Tue</v>
      </c>
      <c r="F428" s="4" t="str">
        <f t="shared" si="34"/>
        <v>Aug</v>
      </c>
      <c r="G428" s="3">
        <v>45153</v>
      </c>
      <c r="H428" s="4" t="s">
        <v>637</v>
      </c>
      <c r="I428" s="4" t="s">
        <v>4</v>
      </c>
      <c r="J428" s="4" t="str" cm="1">
        <f t="array" ref="J428">_xlfn.IFS(K428&gt;=50, "Senior", K428&gt;=30, "Adult", K428&lt;30,"Young Adult")</f>
        <v>Adult</v>
      </c>
      <c r="K428" s="4">
        <v>45</v>
      </c>
      <c r="L428" s="4" t="s">
        <v>8</v>
      </c>
      <c r="M428" s="4">
        <v>1</v>
      </c>
      <c r="N428" s="22">
        <v>25</v>
      </c>
      <c r="O428" s="24">
        <f>M428 * N428</f>
        <v>25</v>
      </c>
      <c r="P428" s="16">
        <f>O428 * $S$3</f>
        <v>0.375</v>
      </c>
      <c r="Q428" s="16">
        <f>O428 * $S$4</f>
        <v>0.5</v>
      </c>
    </row>
    <row r="429" spans="1:17">
      <c r="A429" s="2">
        <v>428</v>
      </c>
      <c r="B429" s="4">
        <f t="shared" si="30"/>
        <v>10</v>
      </c>
      <c r="C429" s="4">
        <f t="shared" si="31"/>
        <v>10</v>
      </c>
      <c r="D429" s="4">
        <f t="shared" si="32"/>
        <v>2023</v>
      </c>
      <c r="E429" s="4" t="str">
        <f t="shared" si="33"/>
        <v>Tue</v>
      </c>
      <c r="F429" s="4" t="str">
        <f t="shared" si="34"/>
        <v>Oct</v>
      </c>
      <c r="G429" s="3">
        <v>45209</v>
      </c>
      <c r="H429" s="4" t="s">
        <v>638</v>
      </c>
      <c r="I429" s="4" t="s">
        <v>3</v>
      </c>
      <c r="J429" s="4" t="str" cm="1">
        <f t="array" ref="J429">_xlfn.IFS(K429&gt;=50, "Senior", K429&gt;=30, "Adult", K429&lt;30,"Young Adult")</f>
        <v>Adult</v>
      </c>
      <c r="K429" s="4">
        <v>45</v>
      </c>
      <c r="L429" s="4" t="s">
        <v>8</v>
      </c>
      <c r="M429" s="4">
        <v>4</v>
      </c>
      <c r="N429" s="22">
        <v>50</v>
      </c>
      <c r="O429" s="24">
        <f>M429 * N429</f>
        <v>200</v>
      </c>
      <c r="P429" s="16">
        <f>O429 * $S$3</f>
        <v>3</v>
      </c>
      <c r="Q429" s="16">
        <f>O429 * $S$4</f>
        <v>4</v>
      </c>
    </row>
    <row r="430" spans="1:17">
      <c r="A430" s="2">
        <v>429</v>
      </c>
      <c r="B430" s="4">
        <f t="shared" si="30"/>
        <v>28</v>
      </c>
      <c r="C430" s="4">
        <f t="shared" si="31"/>
        <v>12</v>
      </c>
      <c r="D430" s="4">
        <f t="shared" si="32"/>
        <v>2023</v>
      </c>
      <c r="E430" s="4" t="str">
        <f t="shared" si="33"/>
        <v>Thu</v>
      </c>
      <c r="F430" s="4" t="str">
        <f t="shared" si="34"/>
        <v>Dec</v>
      </c>
      <c r="G430" s="3">
        <v>45288</v>
      </c>
      <c r="H430" s="4" t="s">
        <v>639</v>
      </c>
      <c r="I430" s="4" t="s">
        <v>4</v>
      </c>
      <c r="J430" s="4" t="str" cm="1">
        <f t="array" ref="J430">_xlfn.IFS(K430&gt;=50, "Senior", K430&gt;=30, "Adult", K430&lt;30,"Young Adult")</f>
        <v>Adult</v>
      </c>
      <c r="K430" s="4">
        <v>45</v>
      </c>
      <c r="L430" s="4" t="s">
        <v>8</v>
      </c>
      <c r="M430" s="4">
        <v>2</v>
      </c>
      <c r="N430" s="22">
        <v>25</v>
      </c>
      <c r="O430" s="24">
        <f>M430 * N430</f>
        <v>50</v>
      </c>
      <c r="P430" s="16">
        <f>O430 * $S$3</f>
        <v>0.75</v>
      </c>
      <c r="Q430" s="16">
        <f>O430 * $S$4</f>
        <v>1</v>
      </c>
    </row>
    <row r="431" spans="1:17">
      <c r="A431" s="2">
        <v>430</v>
      </c>
      <c r="B431" s="4">
        <f t="shared" si="30"/>
        <v>7</v>
      </c>
      <c r="C431" s="4">
        <f t="shared" si="31"/>
        <v>8</v>
      </c>
      <c r="D431" s="4">
        <f t="shared" si="32"/>
        <v>2023</v>
      </c>
      <c r="E431" s="4" t="str">
        <f t="shared" si="33"/>
        <v>Mon</v>
      </c>
      <c r="F431" s="4" t="str">
        <f t="shared" si="34"/>
        <v>Aug</v>
      </c>
      <c r="G431" s="3">
        <v>45145</v>
      </c>
      <c r="H431" s="4" t="s">
        <v>640</v>
      </c>
      <c r="I431" s="4" t="s">
        <v>3</v>
      </c>
      <c r="J431" s="4" t="str" cm="1">
        <f t="array" ref="J431">_xlfn.IFS(K431&gt;=50, "Senior", K431&gt;=30, "Adult", K431&lt;30,"Young Adult")</f>
        <v>Adult</v>
      </c>
      <c r="K431" s="4">
        <v>45</v>
      </c>
      <c r="L431" s="4" t="s">
        <v>8</v>
      </c>
      <c r="M431" s="4">
        <v>3</v>
      </c>
      <c r="N431" s="22">
        <v>300</v>
      </c>
      <c r="O431" s="24">
        <f>M431 * N431</f>
        <v>900</v>
      </c>
      <c r="P431" s="16">
        <f>O431 * $S$3</f>
        <v>13.5</v>
      </c>
      <c r="Q431" s="16">
        <f>O431 * $S$4</f>
        <v>18</v>
      </c>
    </row>
    <row r="432" spans="1:17">
      <c r="A432" s="2">
        <v>431</v>
      </c>
      <c r="B432" s="4">
        <f t="shared" si="30"/>
        <v>15</v>
      </c>
      <c r="C432" s="4">
        <f t="shared" si="31"/>
        <v>10</v>
      </c>
      <c r="D432" s="4">
        <f t="shared" si="32"/>
        <v>2023</v>
      </c>
      <c r="E432" s="4" t="str">
        <f t="shared" si="33"/>
        <v>Sun</v>
      </c>
      <c r="F432" s="4" t="str">
        <f t="shared" si="34"/>
        <v>Oct</v>
      </c>
      <c r="G432" s="3">
        <v>45214</v>
      </c>
      <c r="H432" s="4" t="s">
        <v>641</v>
      </c>
      <c r="I432" s="4" t="s">
        <v>4</v>
      </c>
      <c r="J432" s="4" t="str" cm="1">
        <f t="array" ref="J432">_xlfn.IFS(K432&gt;=50, "Senior", K432&gt;=30, "Adult", K432&lt;30,"Young Adult")</f>
        <v>Adult</v>
      </c>
      <c r="K432" s="4">
        <v>45</v>
      </c>
      <c r="L432" s="4" t="s">
        <v>8</v>
      </c>
      <c r="M432" s="4">
        <v>4</v>
      </c>
      <c r="N432" s="22">
        <v>300</v>
      </c>
      <c r="O432" s="24">
        <f>M432 * N432</f>
        <v>1200</v>
      </c>
      <c r="P432" s="16">
        <f>O432 * $S$3</f>
        <v>18</v>
      </c>
      <c r="Q432" s="16">
        <f>O432 * $S$4</f>
        <v>24</v>
      </c>
    </row>
    <row r="433" spans="1:17">
      <c r="A433" s="2">
        <v>432</v>
      </c>
      <c r="B433" s="4">
        <f t="shared" si="30"/>
        <v>5</v>
      </c>
      <c r="C433" s="4">
        <f t="shared" si="31"/>
        <v>1</v>
      </c>
      <c r="D433" s="4">
        <f t="shared" si="32"/>
        <v>2023</v>
      </c>
      <c r="E433" s="4" t="str">
        <f t="shared" si="33"/>
        <v>Thu</v>
      </c>
      <c r="F433" s="4" t="str">
        <f t="shared" si="34"/>
        <v>Jan</v>
      </c>
      <c r="G433" s="3">
        <v>44931</v>
      </c>
      <c r="H433" s="4" t="s">
        <v>642</v>
      </c>
      <c r="I433" s="4" t="s">
        <v>3</v>
      </c>
      <c r="J433" s="4" t="str" cm="1">
        <f t="array" ref="J433">_xlfn.IFS(K433&gt;=50, "Senior", K433&gt;=30, "Adult", K433&lt;30,"Young Adult")</f>
        <v>Adult</v>
      </c>
      <c r="K433" s="4">
        <v>45</v>
      </c>
      <c r="L433" s="4" t="s">
        <v>8</v>
      </c>
      <c r="M433" s="4">
        <v>2</v>
      </c>
      <c r="N433" s="22">
        <v>500</v>
      </c>
      <c r="O433" s="24">
        <f>M433 * N433</f>
        <v>1000</v>
      </c>
      <c r="P433" s="16">
        <f>O433 * $S$3</f>
        <v>15</v>
      </c>
      <c r="Q433" s="16">
        <f>O433 * $S$4</f>
        <v>20</v>
      </c>
    </row>
    <row r="434" spans="1:17">
      <c r="A434" s="2">
        <v>433</v>
      </c>
      <c r="B434" s="4">
        <f t="shared" si="30"/>
        <v>27</v>
      </c>
      <c r="C434" s="4">
        <f t="shared" si="31"/>
        <v>2</v>
      </c>
      <c r="D434" s="4">
        <f t="shared" si="32"/>
        <v>2023</v>
      </c>
      <c r="E434" s="4" t="str">
        <f t="shared" si="33"/>
        <v>Mon</v>
      </c>
      <c r="F434" s="4" t="str">
        <f t="shared" si="34"/>
        <v>Feb</v>
      </c>
      <c r="G434" s="3">
        <v>44984</v>
      </c>
      <c r="H434" s="4" t="s">
        <v>643</v>
      </c>
      <c r="I434" s="4" t="s">
        <v>4</v>
      </c>
      <c r="J434" s="4" t="str" cm="1">
        <f t="array" ref="J434">_xlfn.IFS(K434&gt;=50, "Senior", K434&gt;=30, "Adult", K434&lt;30,"Young Adult")</f>
        <v>Adult</v>
      </c>
      <c r="K434" s="4">
        <v>45</v>
      </c>
      <c r="L434" s="4" t="s">
        <v>6</v>
      </c>
      <c r="M434" s="4">
        <v>4</v>
      </c>
      <c r="N434" s="22">
        <v>50</v>
      </c>
      <c r="O434" s="24">
        <f>M434 * N434</f>
        <v>200</v>
      </c>
      <c r="P434" s="16">
        <f>O434 * $S$3</f>
        <v>3</v>
      </c>
      <c r="Q434" s="16">
        <f>O434 * $S$4</f>
        <v>4</v>
      </c>
    </row>
    <row r="435" spans="1:17">
      <c r="A435" s="2">
        <v>434</v>
      </c>
      <c r="B435" s="4">
        <f t="shared" si="30"/>
        <v>8</v>
      </c>
      <c r="C435" s="4">
        <f t="shared" si="31"/>
        <v>2</v>
      </c>
      <c r="D435" s="4">
        <f t="shared" si="32"/>
        <v>2023</v>
      </c>
      <c r="E435" s="4" t="str">
        <f t="shared" si="33"/>
        <v>Wed</v>
      </c>
      <c r="F435" s="4" t="str">
        <f t="shared" si="34"/>
        <v>Feb</v>
      </c>
      <c r="G435" s="3">
        <v>44965</v>
      </c>
      <c r="H435" s="4" t="s">
        <v>644</v>
      </c>
      <c r="I435" s="4" t="s">
        <v>3</v>
      </c>
      <c r="J435" s="4" t="str" cm="1">
        <f t="array" ref="J435">_xlfn.IFS(K435&gt;=50, "Senior", K435&gt;=30, "Adult", K435&lt;30,"Young Adult")</f>
        <v>Adult</v>
      </c>
      <c r="K435" s="4">
        <v>45</v>
      </c>
      <c r="L435" s="4" t="s">
        <v>8</v>
      </c>
      <c r="M435" s="4">
        <v>2</v>
      </c>
      <c r="N435" s="22">
        <v>25</v>
      </c>
      <c r="O435" s="24">
        <f>M435 * N435</f>
        <v>50</v>
      </c>
      <c r="P435" s="16">
        <f>O435 * $S$3</f>
        <v>0.75</v>
      </c>
      <c r="Q435" s="16">
        <f>O435 * $S$4</f>
        <v>1</v>
      </c>
    </row>
    <row r="436" spans="1:17">
      <c r="A436" s="2">
        <v>435</v>
      </c>
      <c r="B436" s="4">
        <f t="shared" si="30"/>
        <v>20</v>
      </c>
      <c r="C436" s="4">
        <f t="shared" si="31"/>
        <v>12</v>
      </c>
      <c r="D436" s="4">
        <f t="shared" si="32"/>
        <v>2023</v>
      </c>
      <c r="E436" s="4" t="str">
        <f t="shared" si="33"/>
        <v>Wed</v>
      </c>
      <c r="F436" s="4" t="str">
        <f t="shared" si="34"/>
        <v>Dec</v>
      </c>
      <c r="G436" s="3">
        <v>45280</v>
      </c>
      <c r="H436" s="4" t="s">
        <v>140</v>
      </c>
      <c r="I436" s="4" t="s">
        <v>3</v>
      </c>
      <c r="J436" s="4" t="str" cm="1">
        <f t="array" ref="J436">_xlfn.IFS(K436&gt;=50, "Senior", K436&gt;=30, "Adult", K436&lt;30,"Young Adult")</f>
        <v>Adult</v>
      </c>
      <c r="K436" s="4">
        <v>45</v>
      </c>
      <c r="L436" s="4" t="s">
        <v>6</v>
      </c>
      <c r="M436" s="4">
        <v>3</v>
      </c>
      <c r="N436" s="22">
        <v>300</v>
      </c>
      <c r="O436" s="24">
        <f>M436 * N436</f>
        <v>900</v>
      </c>
      <c r="P436" s="16">
        <f>O436 * $S$3</f>
        <v>13.5</v>
      </c>
      <c r="Q436" s="16">
        <f>O436 * $S$4</f>
        <v>18</v>
      </c>
    </row>
    <row r="437" spans="1:17">
      <c r="A437" s="2">
        <v>436</v>
      </c>
      <c r="B437" s="4">
        <f t="shared" si="30"/>
        <v>18</v>
      </c>
      <c r="C437" s="4">
        <f t="shared" si="31"/>
        <v>3</v>
      </c>
      <c r="D437" s="4">
        <f t="shared" si="32"/>
        <v>2023</v>
      </c>
      <c r="E437" s="4" t="str">
        <f t="shared" si="33"/>
        <v>Sat</v>
      </c>
      <c r="F437" s="4" t="str">
        <f t="shared" si="34"/>
        <v>Mar</v>
      </c>
      <c r="G437" s="3">
        <v>45003</v>
      </c>
      <c r="H437" s="4" t="s">
        <v>645</v>
      </c>
      <c r="I437" s="4" t="s">
        <v>3</v>
      </c>
      <c r="J437" s="4" t="str" cm="1">
        <f t="array" ref="J437">_xlfn.IFS(K437&gt;=50, "Senior", K437&gt;=30, "Adult", K437&lt;30,"Young Adult")</f>
        <v>Adult</v>
      </c>
      <c r="K437" s="4">
        <v>45</v>
      </c>
      <c r="L437" s="4" t="s">
        <v>7</v>
      </c>
      <c r="M437" s="4">
        <v>4</v>
      </c>
      <c r="N437" s="22">
        <v>30</v>
      </c>
      <c r="O437" s="24">
        <f>M437 * N437</f>
        <v>120</v>
      </c>
      <c r="P437" s="16">
        <f>O437 * $S$3</f>
        <v>1.7999999999999998</v>
      </c>
      <c r="Q437" s="16">
        <f>O437 * $S$4</f>
        <v>2.4</v>
      </c>
    </row>
    <row r="438" spans="1:17">
      <c r="A438" s="2">
        <v>437</v>
      </c>
      <c r="B438" s="4">
        <f t="shared" si="30"/>
        <v>7</v>
      </c>
      <c r="C438" s="4">
        <f t="shared" si="31"/>
        <v>10</v>
      </c>
      <c r="D438" s="4">
        <f t="shared" si="32"/>
        <v>2023</v>
      </c>
      <c r="E438" s="4" t="str">
        <f t="shared" si="33"/>
        <v>Sat</v>
      </c>
      <c r="F438" s="4" t="str">
        <f t="shared" si="34"/>
        <v>Oct</v>
      </c>
      <c r="G438" s="3">
        <v>45206</v>
      </c>
      <c r="H438" s="4" t="s">
        <v>646</v>
      </c>
      <c r="I438" s="4" t="s">
        <v>3</v>
      </c>
      <c r="J438" s="4" t="str" cm="1">
        <f t="array" ref="J438">_xlfn.IFS(K438&gt;=50, "Senior", K438&gt;=30, "Adult", K438&lt;30,"Young Adult")</f>
        <v>Adult</v>
      </c>
      <c r="K438" s="4">
        <v>45</v>
      </c>
      <c r="L438" s="4" t="s">
        <v>8</v>
      </c>
      <c r="M438" s="4">
        <v>4</v>
      </c>
      <c r="N438" s="22">
        <v>300</v>
      </c>
      <c r="O438" s="24">
        <f>M438 * N438</f>
        <v>1200</v>
      </c>
      <c r="P438" s="16">
        <f>O438 * $S$3</f>
        <v>18</v>
      </c>
      <c r="Q438" s="16">
        <f>O438 * $S$4</f>
        <v>24</v>
      </c>
    </row>
    <row r="439" spans="1:17">
      <c r="A439" s="2">
        <v>438</v>
      </c>
      <c r="B439" s="4">
        <f t="shared" si="30"/>
        <v>19</v>
      </c>
      <c r="C439" s="4">
        <f t="shared" si="31"/>
        <v>1</v>
      </c>
      <c r="D439" s="4">
        <f t="shared" si="32"/>
        <v>2023</v>
      </c>
      <c r="E439" s="4" t="str">
        <f t="shared" si="33"/>
        <v>Thu</v>
      </c>
      <c r="F439" s="4" t="str">
        <f t="shared" si="34"/>
        <v>Jan</v>
      </c>
      <c r="G439" s="3">
        <v>44945</v>
      </c>
      <c r="H439" s="4" t="s">
        <v>267</v>
      </c>
      <c r="I439" s="4" t="s">
        <v>3</v>
      </c>
      <c r="J439" s="4" t="str" cm="1">
        <f t="array" ref="J439">_xlfn.IFS(K439&gt;=50, "Senior", K439&gt;=30, "Adult", K439&lt;30,"Young Adult")</f>
        <v>Adult</v>
      </c>
      <c r="K439" s="4">
        <v>45</v>
      </c>
      <c r="L439" s="4" t="s">
        <v>7</v>
      </c>
      <c r="M439" s="4">
        <v>1</v>
      </c>
      <c r="N439" s="22">
        <v>30</v>
      </c>
      <c r="O439" s="24">
        <f>M439 * N439</f>
        <v>30</v>
      </c>
      <c r="P439" s="16">
        <f>O439 * $S$3</f>
        <v>0.44999999999999996</v>
      </c>
      <c r="Q439" s="16">
        <f>O439 * $S$4</f>
        <v>0.6</v>
      </c>
    </row>
    <row r="440" spans="1:17">
      <c r="A440" s="2">
        <v>439</v>
      </c>
      <c r="B440" s="4">
        <f t="shared" si="30"/>
        <v>9</v>
      </c>
      <c r="C440" s="4">
        <f t="shared" si="31"/>
        <v>7</v>
      </c>
      <c r="D440" s="4">
        <f t="shared" si="32"/>
        <v>2023</v>
      </c>
      <c r="E440" s="4" t="str">
        <f t="shared" si="33"/>
        <v>Sun</v>
      </c>
      <c r="F440" s="4" t="str">
        <f t="shared" si="34"/>
        <v>Jul</v>
      </c>
      <c r="G440" s="3">
        <v>45116</v>
      </c>
      <c r="H440" s="4" t="s">
        <v>647</v>
      </c>
      <c r="I440" s="4" t="s">
        <v>4</v>
      </c>
      <c r="J440" s="4" t="str" cm="1">
        <f t="array" ref="J440">_xlfn.IFS(K440&gt;=50, "Senior", K440&gt;=30, "Adult", K440&lt;30,"Young Adult")</f>
        <v>Adult</v>
      </c>
      <c r="K440" s="4">
        <v>45</v>
      </c>
      <c r="L440" s="4" t="s">
        <v>7</v>
      </c>
      <c r="M440" s="4">
        <v>3</v>
      </c>
      <c r="N440" s="22">
        <v>25</v>
      </c>
      <c r="O440" s="24">
        <f>M440 * N440</f>
        <v>75</v>
      </c>
      <c r="P440" s="16">
        <f>O440 * $S$3</f>
        <v>1.125</v>
      </c>
      <c r="Q440" s="16">
        <f>O440 * $S$4</f>
        <v>1.5</v>
      </c>
    </row>
    <row r="441" spans="1:17">
      <c r="A441" s="2">
        <v>440</v>
      </c>
      <c r="B441" s="4">
        <f t="shared" si="30"/>
        <v>26</v>
      </c>
      <c r="C441" s="4">
        <f t="shared" si="31"/>
        <v>10</v>
      </c>
      <c r="D441" s="4">
        <f t="shared" si="32"/>
        <v>2023</v>
      </c>
      <c r="E441" s="4" t="str">
        <f t="shared" si="33"/>
        <v>Thu</v>
      </c>
      <c r="F441" s="4" t="str">
        <f t="shared" si="34"/>
        <v>Oct</v>
      </c>
      <c r="G441" s="3">
        <v>45225</v>
      </c>
      <c r="H441" s="4" t="s">
        <v>648</v>
      </c>
      <c r="I441" s="4" t="s">
        <v>4</v>
      </c>
      <c r="J441" s="4" t="str" cm="1">
        <f t="array" ref="J441">_xlfn.IFS(K441&gt;=50, "Senior", K441&gt;=30, "Adult", K441&lt;30,"Young Adult")</f>
        <v>Adult</v>
      </c>
      <c r="K441" s="4">
        <v>45</v>
      </c>
      <c r="L441" s="4" t="s">
        <v>7</v>
      </c>
      <c r="M441" s="4">
        <v>2</v>
      </c>
      <c r="N441" s="22">
        <v>300</v>
      </c>
      <c r="O441" s="24">
        <f>M441 * N441</f>
        <v>600</v>
      </c>
      <c r="P441" s="16">
        <f>O441 * $S$3</f>
        <v>9</v>
      </c>
      <c r="Q441" s="16">
        <f>O441 * $S$4</f>
        <v>12</v>
      </c>
    </row>
    <row r="442" spans="1:17">
      <c r="A442" s="2">
        <v>441</v>
      </c>
      <c r="B442" s="4">
        <f t="shared" si="30"/>
        <v>10</v>
      </c>
      <c r="C442" s="4">
        <f t="shared" si="31"/>
        <v>10</v>
      </c>
      <c r="D442" s="4">
        <f t="shared" si="32"/>
        <v>2023</v>
      </c>
      <c r="E442" s="4" t="str">
        <f t="shared" si="33"/>
        <v>Tue</v>
      </c>
      <c r="F442" s="4" t="str">
        <f t="shared" si="34"/>
        <v>Oct</v>
      </c>
      <c r="G442" s="3">
        <v>45209</v>
      </c>
      <c r="H442" s="4" t="s">
        <v>649</v>
      </c>
      <c r="I442" s="4" t="s">
        <v>4</v>
      </c>
      <c r="J442" s="4" t="str" cm="1">
        <f t="array" ref="J442">_xlfn.IFS(K442&gt;=50, "Senior", K442&gt;=30, "Adult", K442&lt;30,"Young Adult")</f>
        <v>Adult</v>
      </c>
      <c r="K442" s="4">
        <v>45</v>
      </c>
      <c r="L442" s="4" t="s">
        <v>6</v>
      </c>
      <c r="M442" s="4">
        <v>4</v>
      </c>
      <c r="N442" s="22">
        <v>300</v>
      </c>
      <c r="O442" s="24">
        <f>M442 * N442</f>
        <v>1200</v>
      </c>
      <c r="P442" s="16">
        <f>O442 * $S$3</f>
        <v>18</v>
      </c>
      <c r="Q442" s="16">
        <f>O442 * $S$4</f>
        <v>24</v>
      </c>
    </row>
    <row r="443" spans="1:17">
      <c r="A443" s="2">
        <v>442</v>
      </c>
      <c r="B443" s="4">
        <f t="shared" si="30"/>
        <v>17</v>
      </c>
      <c r="C443" s="4">
        <f t="shared" si="31"/>
        <v>3</v>
      </c>
      <c r="D443" s="4">
        <f t="shared" si="32"/>
        <v>2023</v>
      </c>
      <c r="E443" s="4" t="str">
        <f t="shared" si="33"/>
        <v>Fri</v>
      </c>
      <c r="F443" s="4" t="str">
        <f t="shared" si="34"/>
        <v>Mar</v>
      </c>
      <c r="G443" s="3">
        <v>45002</v>
      </c>
      <c r="H443" s="4" t="s">
        <v>650</v>
      </c>
      <c r="I443" s="4" t="s">
        <v>3</v>
      </c>
      <c r="J443" s="4" t="str" cm="1">
        <f t="array" ref="J443">_xlfn.IFS(K443&gt;=50, "Senior", K443&gt;=30, "Adult", K443&lt;30,"Young Adult")</f>
        <v>Adult</v>
      </c>
      <c r="K443" s="4">
        <v>44</v>
      </c>
      <c r="L443" s="4" t="s">
        <v>7</v>
      </c>
      <c r="M443" s="4">
        <v>4</v>
      </c>
      <c r="N443" s="22">
        <v>25</v>
      </c>
      <c r="O443" s="24">
        <f>M443 * N443</f>
        <v>100</v>
      </c>
      <c r="P443" s="16">
        <f>O443 * $S$3</f>
        <v>1.5</v>
      </c>
      <c r="Q443" s="16">
        <f>O443 * $S$4</f>
        <v>2</v>
      </c>
    </row>
    <row r="444" spans="1:17">
      <c r="A444" s="2">
        <v>443</v>
      </c>
      <c r="B444" s="4">
        <f t="shared" si="30"/>
        <v>9</v>
      </c>
      <c r="C444" s="4">
        <f t="shared" si="31"/>
        <v>8</v>
      </c>
      <c r="D444" s="4">
        <f t="shared" si="32"/>
        <v>2023</v>
      </c>
      <c r="E444" s="4" t="str">
        <f t="shared" si="33"/>
        <v>Wed</v>
      </c>
      <c r="F444" s="4" t="str">
        <f t="shared" si="34"/>
        <v>Aug</v>
      </c>
      <c r="G444" s="3">
        <v>45147</v>
      </c>
      <c r="H444" s="4" t="s">
        <v>651</v>
      </c>
      <c r="I444" s="4" t="s">
        <v>4</v>
      </c>
      <c r="J444" s="4" t="str" cm="1">
        <f t="array" ref="J444">_xlfn.IFS(K444&gt;=50, "Senior", K444&gt;=30, "Adult", K444&lt;30,"Young Adult")</f>
        <v>Adult</v>
      </c>
      <c r="K444" s="4">
        <v>44</v>
      </c>
      <c r="L444" s="4" t="s">
        <v>7</v>
      </c>
      <c r="M444" s="4">
        <v>2</v>
      </c>
      <c r="N444" s="22">
        <v>300</v>
      </c>
      <c r="O444" s="24">
        <f>M444 * N444</f>
        <v>600</v>
      </c>
      <c r="P444" s="16">
        <f>O444 * $S$3</f>
        <v>9</v>
      </c>
      <c r="Q444" s="16">
        <f>O444 * $S$4</f>
        <v>12</v>
      </c>
    </row>
    <row r="445" spans="1:17">
      <c r="A445" s="2">
        <v>444</v>
      </c>
      <c r="B445" s="4">
        <f t="shared" si="30"/>
        <v>7</v>
      </c>
      <c r="C445" s="4">
        <f t="shared" si="31"/>
        <v>3</v>
      </c>
      <c r="D445" s="4">
        <f t="shared" si="32"/>
        <v>2023</v>
      </c>
      <c r="E445" s="4" t="str">
        <f t="shared" si="33"/>
        <v>Tue</v>
      </c>
      <c r="F445" s="4" t="str">
        <f t="shared" si="34"/>
        <v>Mar</v>
      </c>
      <c r="G445" s="3">
        <v>44992</v>
      </c>
      <c r="H445" s="4" t="s">
        <v>652</v>
      </c>
      <c r="I445" s="4" t="s">
        <v>3</v>
      </c>
      <c r="J445" s="4" t="str" cm="1">
        <f t="array" ref="J445">_xlfn.IFS(K445&gt;=50, "Senior", K445&gt;=30, "Adult", K445&lt;30,"Young Adult")</f>
        <v>Adult</v>
      </c>
      <c r="K445" s="4">
        <v>44</v>
      </c>
      <c r="L445" s="4" t="s">
        <v>7</v>
      </c>
      <c r="M445" s="4">
        <v>3</v>
      </c>
      <c r="N445" s="22">
        <v>30</v>
      </c>
      <c r="O445" s="24">
        <f>M445 * N445</f>
        <v>90</v>
      </c>
      <c r="P445" s="16">
        <f>O445 * $S$3</f>
        <v>1.3499999999999999</v>
      </c>
      <c r="Q445" s="16">
        <f>O445 * $S$4</f>
        <v>1.8</v>
      </c>
    </row>
    <row r="446" spans="1:17">
      <c r="A446" s="2">
        <v>445</v>
      </c>
      <c r="B446" s="4">
        <f t="shared" si="30"/>
        <v>22</v>
      </c>
      <c r="C446" s="4">
        <f t="shared" si="31"/>
        <v>1</v>
      </c>
      <c r="D446" s="4">
        <f t="shared" si="32"/>
        <v>2023</v>
      </c>
      <c r="E446" s="4" t="str">
        <f t="shared" si="33"/>
        <v>Sun</v>
      </c>
      <c r="F446" s="4" t="str">
        <f t="shared" si="34"/>
        <v>Jan</v>
      </c>
      <c r="G446" s="3">
        <v>44948</v>
      </c>
      <c r="H446" s="4" t="s">
        <v>653</v>
      </c>
      <c r="I446" s="4" t="s">
        <v>3</v>
      </c>
      <c r="J446" s="4" t="str" cm="1">
        <f t="array" ref="J446">_xlfn.IFS(K446&gt;=50, "Senior", K446&gt;=30, "Adult", K446&lt;30,"Young Adult")</f>
        <v>Adult</v>
      </c>
      <c r="K446" s="4">
        <v>44</v>
      </c>
      <c r="L446" s="4" t="s">
        <v>8</v>
      </c>
      <c r="M446" s="4">
        <v>1</v>
      </c>
      <c r="N446" s="22">
        <v>300</v>
      </c>
      <c r="O446" s="24">
        <f>M446 * N446</f>
        <v>300</v>
      </c>
      <c r="P446" s="16">
        <f>O446 * $S$3</f>
        <v>4.5</v>
      </c>
      <c r="Q446" s="16">
        <f>O446 * $S$4</f>
        <v>6</v>
      </c>
    </row>
    <row r="447" spans="1:17">
      <c r="A447" s="2">
        <v>446</v>
      </c>
      <c r="B447" s="4">
        <f t="shared" si="30"/>
        <v>7</v>
      </c>
      <c r="C447" s="4">
        <f t="shared" si="31"/>
        <v>6</v>
      </c>
      <c r="D447" s="4">
        <f t="shared" si="32"/>
        <v>2023</v>
      </c>
      <c r="E447" s="4" t="str">
        <f t="shared" si="33"/>
        <v>Wed</v>
      </c>
      <c r="F447" s="4" t="str">
        <f t="shared" si="34"/>
        <v>Jun</v>
      </c>
      <c r="G447" s="3">
        <v>45084</v>
      </c>
      <c r="H447" s="4" t="s">
        <v>654</v>
      </c>
      <c r="I447" s="4" t="s">
        <v>4</v>
      </c>
      <c r="J447" s="4" t="str" cm="1">
        <f t="array" ref="J447">_xlfn.IFS(K447&gt;=50, "Senior", K447&gt;=30, "Adult", K447&lt;30,"Young Adult")</f>
        <v>Adult</v>
      </c>
      <c r="K447" s="4">
        <v>44</v>
      </c>
      <c r="L447" s="4" t="s">
        <v>8</v>
      </c>
      <c r="M447" s="4">
        <v>1</v>
      </c>
      <c r="N447" s="22">
        <v>50</v>
      </c>
      <c r="O447" s="24">
        <f>M447 * N447</f>
        <v>50</v>
      </c>
      <c r="P447" s="16">
        <f>O447 * $S$3</f>
        <v>0.75</v>
      </c>
      <c r="Q447" s="16">
        <f>O447 * $S$4</f>
        <v>1</v>
      </c>
    </row>
    <row r="448" spans="1:17">
      <c r="A448" s="2">
        <v>447</v>
      </c>
      <c r="B448" s="4">
        <f t="shared" si="30"/>
        <v>6</v>
      </c>
      <c r="C448" s="4">
        <f t="shared" si="31"/>
        <v>7</v>
      </c>
      <c r="D448" s="4">
        <f t="shared" si="32"/>
        <v>2023</v>
      </c>
      <c r="E448" s="4" t="str">
        <f t="shared" si="33"/>
        <v>Thu</v>
      </c>
      <c r="F448" s="4" t="str">
        <f t="shared" si="34"/>
        <v>Jul</v>
      </c>
      <c r="G448" s="3">
        <v>45113</v>
      </c>
      <c r="H448" s="4" t="s">
        <v>655</v>
      </c>
      <c r="I448" s="4" t="s">
        <v>4</v>
      </c>
      <c r="J448" s="4" t="str" cm="1">
        <f t="array" ref="J448">_xlfn.IFS(K448&gt;=50, "Senior", K448&gt;=30, "Adult", K448&lt;30,"Young Adult")</f>
        <v>Adult</v>
      </c>
      <c r="K448" s="4">
        <v>44</v>
      </c>
      <c r="L448" s="4" t="s">
        <v>6</v>
      </c>
      <c r="M448" s="4">
        <v>4</v>
      </c>
      <c r="N448" s="22">
        <v>500</v>
      </c>
      <c r="O448" s="24">
        <f>M448 * N448</f>
        <v>2000</v>
      </c>
      <c r="P448" s="16">
        <f>O448 * $S$3</f>
        <v>30</v>
      </c>
      <c r="Q448" s="16">
        <f>O448 * $S$4</f>
        <v>40</v>
      </c>
    </row>
    <row r="449" spans="1:17">
      <c r="A449" s="2">
        <v>448</v>
      </c>
      <c r="B449" s="4">
        <f t="shared" si="30"/>
        <v>21</v>
      </c>
      <c r="C449" s="4">
        <f t="shared" si="31"/>
        <v>1</v>
      </c>
      <c r="D449" s="4">
        <f t="shared" si="32"/>
        <v>2023</v>
      </c>
      <c r="E449" s="4" t="str">
        <f t="shared" si="33"/>
        <v>Sat</v>
      </c>
      <c r="F449" s="4" t="str">
        <f t="shared" si="34"/>
        <v>Jan</v>
      </c>
      <c r="G449" s="3">
        <v>44947</v>
      </c>
      <c r="H449" s="4" t="s">
        <v>656</v>
      </c>
      <c r="I449" s="4" t="s">
        <v>3</v>
      </c>
      <c r="J449" s="4" t="str" cm="1">
        <f t="array" ref="J449">_xlfn.IFS(K449&gt;=50, "Senior", K449&gt;=30, "Adult", K449&lt;30,"Young Adult")</f>
        <v>Adult</v>
      </c>
      <c r="K449" s="4">
        <v>44</v>
      </c>
      <c r="L449" s="4" t="s">
        <v>6</v>
      </c>
      <c r="M449" s="4">
        <v>2</v>
      </c>
      <c r="N449" s="22">
        <v>30</v>
      </c>
      <c r="O449" s="24">
        <f>M449 * N449</f>
        <v>60</v>
      </c>
      <c r="P449" s="16">
        <f>O449 * $S$3</f>
        <v>0.89999999999999991</v>
      </c>
      <c r="Q449" s="16">
        <f>O449 * $S$4</f>
        <v>1.2</v>
      </c>
    </row>
    <row r="450" spans="1:17">
      <c r="A450" s="2">
        <v>449</v>
      </c>
      <c r="B450" s="4">
        <f t="shared" si="30"/>
        <v>3</v>
      </c>
      <c r="C450" s="4">
        <f t="shared" si="31"/>
        <v>7</v>
      </c>
      <c r="D450" s="4">
        <f t="shared" si="32"/>
        <v>2023</v>
      </c>
      <c r="E450" s="4" t="str">
        <f t="shared" si="33"/>
        <v>Mon</v>
      </c>
      <c r="F450" s="4" t="str">
        <f t="shared" si="34"/>
        <v>Jul</v>
      </c>
      <c r="G450" s="3">
        <v>45110</v>
      </c>
      <c r="H450" s="4" t="s">
        <v>657</v>
      </c>
      <c r="I450" s="4" t="s">
        <v>4</v>
      </c>
      <c r="J450" s="4" t="str" cm="1">
        <f t="array" ref="J450">_xlfn.IFS(K450&gt;=50, "Senior", K450&gt;=30, "Adult", K450&lt;30,"Young Adult")</f>
        <v>Adult</v>
      </c>
      <c r="K450" s="4">
        <v>44</v>
      </c>
      <c r="L450" s="4" t="s">
        <v>8</v>
      </c>
      <c r="M450" s="4">
        <v>4</v>
      </c>
      <c r="N450" s="22">
        <v>50</v>
      </c>
      <c r="O450" s="24">
        <f>M450 * N450</f>
        <v>200</v>
      </c>
      <c r="P450" s="16">
        <f>O450 * $S$3</f>
        <v>3</v>
      </c>
      <c r="Q450" s="16">
        <f>O450 * $S$4</f>
        <v>4</v>
      </c>
    </row>
    <row r="451" spans="1:17">
      <c r="A451" s="2">
        <v>450</v>
      </c>
      <c r="B451" s="4">
        <f t="shared" ref="B451:B514" si="35">DAY(G451)</f>
        <v>18</v>
      </c>
      <c r="C451" s="4">
        <f t="shared" ref="C451:C514" si="36">MONTH(G451)</f>
        <v>4</v>
      </c>
      <c r="D451" s="4">
        <f t="shared" ref="D451:D514" si="37">YEAR(G451)</f>
        <v>2023</v>
      </c>
      <c r="E451" s="4" t="str">
        <f t="shared" ref="E451:E514" si="38">TEXT(G451,"DDD")</f>
        <v>Tue</v>
      </c>
      <c r="F451" s="4" t="str">
        <f t="shared" ref="F451:F514" si="39">TEXT(G451,"MMM")</f>
        <v>Apr</v>
      </c>
      <c r="G451" s="3">
        <v>45034</v>
      </c>
      <c r="H451" s="4" t="s">
        <v>658</v>
      </c>
      <c r="I451" s="4" t="s">
        <v>3</v>
      </c>
      <c r="J451" s="4" t="str" cm="1">
        <f t="array" ref="J451">_xlfn.IFS(K451&gt;=50, "Senior", K451&gt;=30, "Adult", K451&lt;30,"Young Adult")</f>
        <v>Adult</v>
      </c>
      <c r="K451" s="4">
        <v>44</v>
      </c>
      <c r="L451" s="4" t="s">
        <v>6</v>
      </c>
      <c r="M451" s="4">
        <v>2</v>
      </c>
      <c r="N451" s="22">
        <v>25</v>
      </c>
      <c r="O451" s="24">
        <f>M451 * N451</f>
        <v>50</v>
      </c>
      <c r="P451" s="16">
        <f>O451 * $S$3</f>
        <v>0.75</v>
      </c>
      <c r="Q451" s="16">
        <f>O451 * $S$4</f>
        <v>1</v>
      </c>
    </row>
    <row r="452" spans="1:17">
      <c r="A452" s="2">
        <v>451</v>
      </c>
      <c r="B452" s="4">
        <f t="shared" si="35"/>
        <v>16</v>
      </c>
      <c r="C452" s="4">
        <f t="shared" si="36"/>
        <v>12</v>
      </c>
      <c r="D452" s="4">
        <f t="shared" si="37"/>
        <v>2023</v>
      </c>
      <c r="E452" s="4" t="str">
        <f t="shared" si="38"/>
        <v>Sat</v>
      </c>
      <c r="F452" s="4" t="str">
        <f t="shared" si="39"/>
        <v>Dec</v>
      </c>
      <c r="G452" s="3">
        <v>45276</v>
      </c>
      <c r="H452" s="4" t="s">
        <v>659</v>
      </c>
      <c r="I452" s="4" t="s">
        <v>3</v>
      </c>
      <c r="J452" s="4" t="str" cm="1">
        <f t="array" ref="J452">_xlfn.IFS(K452&gt;=50, "Senior", K452&gt;=30, "Adult", K452&lt;30,"Young Adult")</f>
        <v>Adult</v>
      </c>
      <c r="K452" s="4">
        <v>44</v>
      </c>
      <c r="L452" s="4" t="s">
        <v>8</v>
      </c>
      <c r="M452" s="4">
        <v>1</v>
      </c>
      <c r="N452" s="22">
        <v>30</v>
      </c>
      <c r="O452" s="24">
        <f>M452 * N452</f>
        <v>30</v>
      </c>
      <c r="P452" s="16">
        <f>O452 * $S$3</f>
        <v>0.44999999999999996</v>
      </c>
      <c r="Q452" s="16">
        <f>O452 * $S$4</f>
        <v>0.6</v>
      </c>
    </row>
    <row r="453" spans="1:17">
      <c r="A453" s="2">
        <v>452</v>
      </c>
      <c r="B453" s="4">
        <f t="shared" si="35"/>
        <v>8</v>
      </c>
      <c r="C453" s="4">
        <f t="shared" si="36"/>
        <v>5</v>
      </c>
      <c r="D453" s="4">
        <f t="shared" si="37"/>
        <v>2023</v>
      </c>
      <c r="E453" s="4" t="str">
        <f t="shared" si="38"/>
        <v>Mon</v>
      </c>
      <c r="F453" s="4" t="str">
        <f t="shared" si="39"/>
        <v>May</v>
      </c>
      <c r="G453" s="3">
        <v>45054</v>
      </c>
      <c r="H453" s="4" t="s">
        <v>266</v>
      </c>
      <c r="I453" s="4" t="s">
        <v>3</v>
      </c>
      <c r="J453" s="4" t="str" cm="1">
        <f t="array" ref="J453">_xlfn.IFS(K453&gt;=50, "Senior", K453&gt;=30, "Adult", K453&lt;30,"Young Adult")</f>
        <v>Adult</v>
      </c>
      <c r="K453" s="4">
        <v>44</v>
      </c>
      <c r="L453" s="4" t="s">
        <v>7</v>
      </c>
      <c r="M453" s="4">
        <v>3</v>
      </c>
      <c r="N453" s="22">
        <v>500</v>
      </c>
      <c r="O453" s="24">
        <f>M453 * N453</f>
        <v>1500</v>
      </c>
      <c r="P453" s="16">
        <f>O453 * $S$3</f>
        <v>22.5</v>
      </c>
      <c r="Q453" s="16">
        <f>O453 * $S$4</f>
        <v>30</v>
      </c>
    </row>
    <row r="454" spans="1:17">
      <c r="A454" s="2">
        <v>453</v>
      </c>
      <c r="B454" s="4">
        <f t="shared" si="35"/>
        <v>8</v>
      </c>
      <c r="C454" s="4">
        <f t="shared" si="36"/>
        <v>12</v>
      </c>
      <c r="D454" s="4">
        <f t="shared" si="37"/>
        <v>2023</v>
      </c>
      <c r="E454" s="4" t="str">
        <f t="shared" si="38"/>
        <v>Fri</v>
      </c>
      <c r="F454" s="4" t="str">
        <f t="shared" si="39"/>
        <v>Dec</v>
      </c>
      <c r="G454" s="3">
        <v>45268</v>
      </c>
      <c r="H454" s="4" t="s">
        <v>660</v>
      </c>
      <c r="I454" s="4" t="s">
        <v>3</v>
      </c>
      <c r="J454" s="4" t="str" cm="1">
        <f t="array" ref="J454">_xlfn.IFS(K454&gt;=50, "Senior", K454&gt;=30, "Adult", K454&lt;30,"Young Adult")</f>
        <v>Adult</v>
      </c>
      <c r="K454" s="4">
        <v>44</v>
      </c>
      <c r="L454" s="4" t="s">
        <v>7</v>
      </c>
      <c r="M454" s="4">
        <v>2</v>
      </c>
      <c r="N454" s="22">
        <v>500</v>
      </c>
      <c r="O454" s="24">
        <f>M454 * N454</f>
        <v>1000</v>
      </c>
      <c r="P454" s="16">
        <f>O454 * $S$3</f>
        <v>15</v>
      </c>
      <c r="Q454" s="16">
        <f>O454 * $S$4</f>
        <v>20</v>
      </c>
    </row>
    <row r="455" spans="1:17">
      <c r="A455" s="2">
        <v>454</v>
      </c>
      <c r="B455" s="4">
        <f t="shared" si="35"/>
        <v>22</v>
      </c>
      <c r="C455" s="4">
        <f t="shared" si="36"/>
        <v>2</v>
      </c>
      <c r="D455" s="4">
        <f t="shared" si="37"/>
        <v>2023</v>
      </c>
      <c r="E455" s="4" t="str">
        <f t="shared" si="38"/>
        <v>Wed</v>
      </c>
      <c r="F455" s="4" t="str">
        <f t="shared" si="39"/>
        <v>Feb</v>
      </c>
      <c r="G455" s="3">
        <v>44979</v>
      </c>
      <c r="H455" s="4" t="s">
        <v>139</v>
      </c>
      <c r="I455" s="4" t="s">
        <v>3</v>
      </c>
      <c r="J455" s="4" t="str" cm="1">
        <f t="array" ref="J455">_xlfn.IFS(K455&gt;=50, "Senior", K455&gt;=30, "Adult", K455&lt;30,"Young Adult")</f>
        <v>Adult</v>
      </c>
      <c r="K455" s="4">
        <v>44</v>
      </c>
      <c r="L455" s="4" t="s">
        <v>6</v>
      </c>
      <c r="M455" s="4">
        <v>1</v>
      </c>
      <c r="N455" s="22">
        <v>25</v>
      </c>
      <c r="O455" s="24">
        <f>M455 * N455</f>
        <v>25</v>
      </c>
      <c r="P455" s="16">
        <f>O455 * $S$3</f>
        <v>0.375</v>
      </c>
      <c r="Q455" s="16">
        <f>O455 * $S$4</f>
        <v>0.5</v>
      </c>
    </row>
    <row r="456" spans="1:17">
      <c r="A456" s="2">
        <v>455</v>
      </c>
      <c r="B456" s="4">
        <f t="shared" si="35"/>
        <v>1</v>
      </c>
      <c r="C456" s="4">
        <f t="shared" si="36"/>
        <v>7</v>
      </c>
      <c r="D456" s="4">
        <f t="shared" si="37"/>
        <v>2023</v>
      </c>
      <c r="E456" s="4" t="str">
        <f t="shared" si="38"/>
        <v>Sat</v>
      </c>
      <c r="F456" s="4" t="str">
        <f t="shared" si="39"/>
        <v>Jul</v>
      </c>
      <c r="G456" s="3">
        <v>45108</v>
      </c>
      <c r="H456" s="4" t="s">
        <v>661</v>
      </c>
      <c r="I456" s="4" t="s">
        <v>4</v>
      </c>
      <c r="J456" s="4" t="str" cm="1">
        <f t="array" ref="J456">_xlfn.IFS(K456&gt;=50, "Senior", K456&gt;=30, "Adult", K456&lt;30,"Young Adult")</f>
        <v>Adult</v>
      </c>
      <c r="K456" s="4">
        <v>44</v>
      </c>
      <c r="L456" s="4" t="s">
        <v>8</v>
      </c>
      <c r="M456" s="4">
        <v>4</v>
      </c>
      <c r="N456" s="22">
        <v>25</v>
      </c>
      <c r="O456" s="24">
        <f>M456 * N456</f>
        <v>100</v>
      </c>
      <c r="P456" s="16">
        <f>O456 * $S$3</f>
        <v>1.5</v>
      </c>
      <c r="Q456" s="16">
        <f>O456 * $S$4</f>
        <v>2</v>
      </c>
    </row>
    <row r="457" spans="1:17">
      <c r="A457" s="2">
        <v>456</v>
      </c>
      <c r="B457" s="4">
        <f t="shared" si="35"/>
        <v>14</v>
      </c>
      <c r="C457" s="4">
        <f t="shared" si="36"/>
        <v>10</v>
      </c>
      <c r="D457" s="4">
        <f t="shared" si="37"/>
        <v>2023</v>
      </c>
      <c r="E457" s="4" t="str">
        <f t="shared" si="38"/>
        <v>Sat</v>
      </c>
      <c r="F457" s="4" t="str">
        <f t="shared" si="39"/>
        <v>Oct</v>
      </c>
      <c r="G457" s="3">
        <v>45213</v>
      </c>
      <c r="H457" s="4" t="s">
        <v>662</v>
      </c>
      <c r="I457" s="4" t="s">
        <v>4</v>
      </c>
      <c r="J457" s="4" t="str" cm="1">
        <f t="array" ref="J457">_xlfn.IFS(K457&gt;=50, "Senior", K457&gt;=30, "Adult", K457&lt;30,"Young Adult")</f>
        <v>Adult</v>
      </c>
      <c r="K457" s="4">
        <v>44</v>
      </c>
      <c r="L457" s="4" t="s">
        <v>8</v>
      </c>
      <c r="M457" s="4">
        <v>2</v>
      </c>
      <c r="N457" s="22">
        <v>30</v>
      </c>
      <c r="O457" s="24">
        <f>M457 * N457</f>
        <v>60</v>
      </c>
      <c r="P457" s="16">
        <f>O457 * $S$3</f>
        <v>0.89999999999999991</v>
      </c>
      <c r="Q457" s="16">
        <f>O457 * $S$4</f>
        <v>1.2</v>
      </c>
    </row>
    <row r="458" spans="1:17">
      <c r="A458" s="2">
        <v>457</v>
      </c>
      <c r="B458" s="4">
        <f t="shared" si="35"/>
        <v>28</v>
      </c>
      <c r="C458" s="4">
        <f t="shared" si="36"/>
        <v>7</v>
      </c>
      <c r="D458" s="4">
        <f t="shared" si="37"/>
        <v>2023</v>
      </c>
      <c r="E458" s="4" t="str">
        <f t="shared" si="38"/>
        <v>Fri</v>
      </c>
      <c r="F458" s="4" t="str">
        <f t="shared" si="39"/>
        <v>Jul</v>
      </c>
      <c r="G458" s="3">
        <v>45135</v>
      </c>
      <c r="H458" s="4" t="s">
        <v>663</v>
      </c>
      <c r="I458" s="4" t="s">
        <v>3</v>
      </c>
      <c r="J458" s="4" t="str" cm="1">
        <f t="array" ref="J458">_xlfn.IFS(K458&gt;=50, "Senior", K458&gt;=30, "Adult", K458&lt;30,"Young Adult")</f>
        <v>Adult</v>
      </c>
      <c r="K458" s="4">
        <v>43</v>
      </c>
      <c r="L458" s="4" t="s">
        <v>6</v>
      </c>
      <c r="M458" s="4">
        <v>3</v>
      </c>
      <c r="N458" s="22">
        <v>300</v>
      </c>
      <c r="O458" s="24">
        <f>M458 * N458</f>
        <v>900</v>
      </c>
      <c r="P458" s="16">
        <f>O458 * $S$3</f>
        <v>13.5</v>
      </c>
      <c r="Q458" s="16">
        <f>O458 * $S$4</f>
        <v>18</v>
      </c>
    </row>
    <row r="459" spans="1:17">
      <c r="A459" s="2">
        <v>458</v>
      </c>
      <c r="B459" s="4">
        <f t="shared" si="35"/>
        <v>14</v>
      </c>
      <c r="C459" s="4">
        <f t="shared" si="36"/>
        <v>11</v>
      </c>
      <c r="D459" s="4">
        <f t="shared" si="37"/>
        <v>2023</v>
      </c>
      <c r="E459" s="4" t="str">
        <f t="shared" si="38"/>
        <v>Tue</v>
      </c>
      <c r="F459" s="4" t="str">
        <f t="shared" si="39"/>
        <v>Nov</v>
      </c>
      <c r="G459" s="3">
        <v>45244</v>
      </c>
      <c r="H459" s="4" t="s">
        <v>664</v>
      </c>
      <c r="I459" s="4" t="s">
        <v>3</v>
      </c>
      <c r="J459" s="4" t="str" cm="1">
        <f t="array" ref="J459">_xlfn.IFS(K459&gt;=50, "Senior", K459&gt;=30, "Adult", K459&lt;30,"Young Adult")</f>
        <v>Adult</v>
      </c>
      <c r="K459" s="4">
        <v>43</v>
      </c>
      <c r="L459" s="4" t="s">
        <v>8</v>
      </c>
      <c r="M459" s="4">
        <v>4</v>
      </c>
      <c r="N459" s="22">
        <v>25</v>
      </c>
      <c r="O459" s="24">
        <f>M459 * N459</f>
        <v>100</v>
      </c>
      <c r="P459" s="16">
        <f>O459 * $S$3</f>
        <v>1.5</v>
      </c>
      <c r="Q459" s="16">
        <f>O459 * $S$4</f>
        <v>2</v>
      </c>
    </row>
    <row r="460" spans="1:17">
      <c r="A460" s="2">
        <v>459</v>
      </c>
      <c r="B460" s="4">
        <f t="shared" si="35"/>
        <v>21</v>
      </c>
      <c r="C460" s="4">
        <f t="shared" si="36"/>
        <v>3</v>
      </c>
      <c r="D460" s="4">
        <f t="shared" si="37"/>
        <v>2023</v>
      </c>
      <c r="E460" s="4" t="str">
        <f t="shared" si="38"/>
        <v>Tue</v>
      </c>
      <c r="F460" s="4" t="str">
        <f t="shared" si="39"/>
        <v>Mar</v>
      </c>
      <c r="G460" s="3">
        <v>45006</v>
      </c>
      <c r="H460" s="4" t="s">
        <v>665</v>
      </c>
      <c r="I460" s="4" t="s">
        <v>4</v>
      </c>
      <c r="J460" s="4" t="str" cm="1">
        <f t="array" ref="J460">_xlfn.IFS(K460&gt;=50, "Senior", K460&gt;=30, "Adult", K460&lt;30,"Young Adult")</f>
        <v>Adult</v>
      </c>
      <c r="K460" s="4">
        <v>43</v>
      </c>
      <c r="L460" s="4" t="s">
        <v>7</v>
      </c>
      <c r="M460" s="4">
        <v>4</v>
      </c>
      <c r="N460" s="22">
        <v>300</v>
      </c>
      <c r="O460" s="24">
        <f>M460 * N460</f>
        <v>1200</v>
      </c>
      <c r="P460" s="16">
        <f>O460 * $S$3</f>
        <v>18</v>
      </c>
      <c r="Q460" s="16">
        <f>O460 * $S$4</f>
        <v>24</v>
      </c>
    </row>
    <row r="461" spans="1:17">
      <c r="A461" s="2">
        <v>460</v>
      </c>
      <c r="B461" s="4">
        <f t="shared" si="35"/>
        <v>2</v>
      </c>
      <c r="C461" s="4">
        <f t="shared" si="36"/>
        <v>5</v>
      </c>
      <c r="D461" s="4">
        <f t="shared" si="37"/>
        <v>2023</v>
      </c>
      <c r="E461" s="4" t="str">
        <f t="shared" si="38"/>
        <v>Tue</v>
      </c>
      <c r="F461" s="4" t="str">
        <f t="shared" si="39"/>
        <v>May</v>
      </c>
      <c r="G461" s="3">
        <v>45048</v>
      </c>
      <c r="H461" s="4" t="s">
        <v>136</v>
      </c>
      <c r="I461" s="4" t="s">
        <v>4</v>
      </c>
      <c r="J461" s="4" t="str" cm="1">
        <f t="array" ref="J461">_xlfn.IFS(K461&gt;=50, "Senior", K461&gt;=30, "Adult", K461&lt;30,"Young Adult")</f>
        <v>Adult</v>
      </c>
      <c r="K461" s="4">
        <v>43</v>
      </c>
      <c r="L461" s="4" t="s">
        <v>6</v>
      </c>
      <c r="M461" s="4">
        <v>1</v>
      </c>
      <c r="N461" s="22">
        <v>50</v>
      </c>
      <c r="O461" s="24">
        <f>M461 * N461</f>
        <v>50</v>
      </c>
      <c r="P461" s="16">
        <f>O461 * $S$3</f>
        <v>0.75</v>
      </c>
      <c r="Q461" s="16">
        <f>O461 * $S$4</f>
        <v>1</v>
      </c>
    </row>
    <row r="462" spans="1:17">
      <c r="A462" s="2">
        <v>461</v>
      </c>
      <c r="B462" s="4">
        <f t="shared" si="35"/>
        <v>25</v>
      </c>
      <c r="C462" s="4">
        <f t="shared" si="36"/>
        <v>3</v>
      </c>
      <c r="D462" s="4">
        <f t="shared" si="37"/>
        <v>2023</v>
      </c>
      <c r="E462" s="4" t="str">
        <f t="shared" si="38"/>
        <v>Sat</v>
      </c>
      <c r="F462" s="4" t="str">
        <f t="shared" si="39"/>
        <v>Mar</v>
      </c>
      <c r="G462" s="3">
        <v>45010</v>
      </c>
      <c r="H462" s="4" t="s">
        <v>666</v>
      </c>
      <c r="I462" s="4" t="s">
        <v>3</v>
      </c>
      <c r="J462" s="4" t="str" cm="1">
        <f t="array" ref="J462">_xlfn.IFS(K462&gt;=50, "Senior", K462&gt;=30, "Adult", K462&lt;30,"Young Adult")</f>
        <v>Adult</v>
      </c>
      <c r="K462" s="4">
        <v>43</v>
      </c>
      <c r="L462" s="4" t="s">
        <v>6</v>
      </c>
      <c r="M462" s="4">
        <v>2</v>
      </c>
      <c r="N462" s="22">
        <v>500</v>
      </c>
      <c r="O462" s="24">
        <f>M462 * N462</f>
        <v>1000</v>
      </c>
      <c r="P462" s="16">
        <f>O462 * $S$3</f>
        <v>15</v>
      </c>
      <c r="Q462" s="16">
        <f>O462 * $S$4</f>
        <v>20</v>
      </c>
    </row>
    <row r="463" spans="1:17">
      <c r="A463" s="2">
        <v>462</v>
      </c>
      <c r="B463" s="4">
        <f t="shared" si="35"/>
        <v>1</v>
      </c>
      <c r="C463" s="4">
        <f t="shared" si="36"/>
        <v>4</v>
      </c>
      <c r="D463" s="4">
        <f t="shared" si="37"/>
        <v>2023</v>
      </c>
      <c r="E463" s="4" t="str">
        <f t="shared" si="38"/>
        <v>Sat</v>
      </c>
      <c r="F463" s="4" t="str">
        <f t="shared" si="39"/>
        <v>Apr</v>
      </c>
      <c r="G463" s="3">
        <v>45017</v>
      </c>
      <c r="H463" s="4" t="s">
        <v>667</v>
      </c>
      <c r="I463" s="4" t="s">
        <v>4</v>
      </c>
      <c r="J463" s="4" t="str" cm="1">
        <f t="array" ref="J463">_xlfn.IFS(K463&gt;=50, "Senior", K463&gt;=30, "Adult", K463&lt;30,"Young Adult")</f>
        <v>Adult</v>
      </c>
      <c r="K463" s="4">
        <v>43</v>
      </c>
      <c r="L463" s="4" t="s">
        <v>8</v>
      </c>
      <c r="M463" s="4">
        <v>4</v>
      </c>
      <c r="N463" s="22">
        <v>300</v>
      </c>
      <c r="O463" s="24">
        <f>M463 * N463</f>
        <v>1200</v>
      </c>
      <c r="P463" s="16">
        <f>O463 * $S$3</f>
        <v>18</v>
      </c>
      <c r="Q463" s="16">
        <f>O463 * $S$4</f>
        <v>24</v>
      </c>
    </row>
    <row r="464" spans="1:17">
      <c r="A464" s="2">
        <v>463</v>
      </c>
      <c r="B464" s="4">
        <f t="shared" si="35"/>
        <v>31</v>
      </c>
      <c r="C464" s="4">
        <f t="shared" si="36"/>
        <v>7</v>
      </c>
      <c r="D464" s="4">
        <f t="shared" si="37"/>
        <v>2023</v>
      </c>
      <c r="E464" s="4" t="str">
        <f t="shared" si="38"/>
        <v>Mon</v>
      </c>
      <c r="F464" s="4" t="str">
        <f t="shared" si="39"/>
        <v>Jul</v>
      </c>
      <c r="G464" s="3">
        <v>45138</v>
      </c>
      <c r="H464" s="4" t="s">
        <v>668</v>
      </c>
      <c r="I464" s="4" t="s">
        <v>3</v>
      </c>
      <c r="J464" s="4" t="str" cm="1">
        <f t="array" ref="J464">_xlfn.IFS(K464&gt;=50, "Senior", K464&gt;=30, "Adult", K464&lt;30,"Young Adult")</f>
        <v>Adult</v>
      </c>
      <c r="K464" s="4">
        <v>43</v>
      </c>
      <c r="L464" s="4" t="s">
        <v>6</v>
      </c>
      <c r="M464" s="4">
        <v>3</v>
      </c>
      <c r="N464" s="22">
        <v>500</v>
      </c>
      <c r="O464" s="24">
        <f>M464 * N464</f>
        <v>1500</v>
      </c>
      <c r="P464" s="16">
        <f>O464 * $S$3</f>
        <v>22.5</v>
      </c>
      <c r="Q464" s="16">
        <f>O464 * $S$4</f>
        <v>30</v>
      </c>
    </row>
    <row r="465" spans="1:17">
      <c r="A465" s="2">
        <v>464</v>
      </c>
      <c r="B465" s="4">
        <f t="shared" si="35"/>
        <v>13</v>
      </c>
      <c r="C465" s="4">
        <f t="shared" si="36"/>
        <v>1</v>
      </c>
      <c r="D465" s="4">
        <f t="shared" si="37"/>
        <v>2023</v>
      </c>
      <c r="E465" s="4" t="str">
        <f t="shared" si="38"/>
        <v>Fri</v>
      </c>
      <c r="F465" s="4" t="str">
        <f t="shared" si="39"/>
        <v>Jan</v>
      </c>
      <c r="G465" s="3">
        <v>44939</v>
      </c>
      <c r="H465" s="4" t="s">
        <v>669</v>
      </c>
      <c r="I465" s="4" t="s">
        <v>4</v>
      </c>
      <c r="J465" s="4" t="str" cm="1">
        <f t="array" ref="J465">_xlfn.IFS(K465&gt;=50, "Senior", K465&gt;=30, "Adult", K465&lt;30,"Young Adult")</f>
        <v>Adult</v>
      </c>
      <c r="K465" s="4">
        <v>43</v>
      </c>
      <c r="L465" s="4" t="s">
        <v>8</v>
      </c>
      <c r="M465" s="4">
        <v>2</v>
      </c>
      <c r="N465" s="22">
        <v>300</v>
      </c>
      <c r="O465" s="24">
        <f>M465 * N465</f>
        <v>600</v>
      </c>
      <c r="P465" s="16">
        <f>O465 * $S$3</f>
        <v>9</v>
      </c>
      <c r="Q465" s="16">
        <f>O465 * $S$4</f>
        <v>12</v>
      </c>
    </row>
    <row r="466" spans="1:17">
      <c r="A466" s="2">
        <v>465</v>
      </c>
      <c r="B466" s="4">
        <f t="shared" si="35"/>
        <v>2</v>
      </c>
      <c r="C466" s="4">
        <f t="shared" si="36"/>
        <v>4</v>
      </c>
      <c r="D466" s="4">
        <f t="shared" si="37"/>
        <v>2023</v>
      </c>
      <c r="E466" s="4" t="str">
        <f t="shared" si="38"/>
        <v>Sun</v>
      </c>
      <c r="F466" s="4" t="str">
        <f t="shared" si="39"/>
        <v>Apr</v>
      </c>
      <c r="G466" s="3">
        <v>45018</v>
      </c>
      <c r="H466" s="4" t="s">
        <v>670</v>
      </c>
      <c r="I466" s="4" t="s">
        <v>3</v>
      </c>
      <c r="J466" s="4" t="str" cm="1">
        <f t="array" ref="J466">_xlfn.IFS(K466&gt;=50, "Senior", K466&gt;=30, "Adult", K466&lt;30,"Young Adult")</f>
        <v>Adult</v>
      </c>
      <c r="K466" s="4">
        <v>43</v>
      </c>
      <c r="L466" s="4" t="s">
        <v>8</v>
      </c>
      <c r="M466" s="4">
        <v>3</v>
      </c>
      <c r="N466" s="22">
        <v>50</v>
      </c>
      <c r="O466" s="24">
        <f>M466 * N466</f>
        <v>150</v>
      </c>
      <c r="P466" s="16">
        <f>O466 * $S$3</f>
        <v>2.25</v>
      </c>
      <c r="Q466" s="16">
        <f>O466 * $S$4</f>
        <v>3</v>
      </c>
    </row>
    <row r="467" spans="1:17">
      <c r="A467" s="2">
        <v>466</v>
      </c>
      <c r="B467" s="4">
        <f t="shared" si="35"/>
        <v>20</v>
      </c>
      <c r="C467" s="4">
        <f t="shared" si="36"/>
        <v>6</v>
      </c>
      <c r="D467" s="4">
        <f t="shared" si="37"/>
        <v>2023</v>
      </c>
      <c r="E467" s="4" t="str">
        <f t="shared" si="38"/>
        <v>Tue</v>
      </c>
      <c r="F467" s="4" t="str">
        <f t="shared" si="39"/>
        <v>Jun</v>
      </c>
      <c r="G467" s="3">
        <v>45097</v>
      </c>
      <c r="H467" s="4" t="s">
        <v>671</v>
      </c>
      <c r="I467" s="4" t="s">
        <v>4</v>
      </c>
      <c r="J467" s="4" t="str" cm="1">
        <f t="array" ref="J467">_xlfn.IFS(K467&gt;=50, "Senior", K467&gt;=30, "Adult", K467&lt;30,"Young Adult")</f>
        <v>Adult</v>
      </c>
      <c r="K467" s="4">
        <v>43</v>
      </c>
      <c r="L467" s="4" t="s">
        <v>8</v>
      </c>
      <c r="M467" s="4">
        <v>4</v>
      </c>
      <c r="N467" s="22">
        <v>25</v>
      </c>
      <c r="O467" s="24">
        <f>M467 * N467</f>
        <v>100</v>
      </c>
      <c r="P467" s="16">
        <f>O467 * $S$3</f>
        <v>1.5</v>
      </c>
      <c r="Q467" s="16">
        <f>O467 * $S$4</f>
        <v>2</v>
      </c>
    </row>
    <row r="468" spans="1:17">
      <c r="A468" s="2">
        <v>467</v>
      </c>
      <c r="B468" s="4">
        <f t="shared" si="35"/>
        <v>30</v>
      </c>
      <c r="C468" s="4">
        <f t="shared" si="36"/>
        <v>7</v>
      </c>
      <c r="D468" s="4">
        <f t="shared" si="37"/>
        <v>2023</v>
      </c>
      <c r="E468" s="4" t="str">
        <f t="shared" si="38"/>
        <v>Sun</v>
      </c>
      <c r="F468" s="4" t="str">
        <f t="shared" si="39"/>
        <v>Jul</v>
      </c>
      <c r="G468" s="3">
        <v>45137</v>
      </c>
      <c r="H468" s="4" t="s">
        <v>672</v>
      </c>
      <c r="I468" s="4" t="s">
        <v>3</v>
      </c>
      <c r="J468" s="4" t="str" cm="1">
        <f t="array" ref="J468">_xlfn.IFS(K468&gt;=50, "Senior", K468&gt;=30, "Adult", K468&lt;30,"Young Adult")</f>
        <v>Adult</v>
      </c>
      <c r="K468" s="4">
        <v>43</v>
      </c>
      <c r="L468" s="4" t="s">
        <v>8</v>
      </c>
      <c r="M468" s="4">
        <v>3</v>
      </c>
      <c r="N468" s="22">
        <v>50</v>
      </c>
      <c r="O468" s="24">
        <f>M468 * N468</f>
        <v>150</v>
      </c>
      <c r="P468" s="16">
        <f>O468 * $S$3</f>
        <v>2.25</v>
      </c>
      <c r="Q468" s="16">
        <f>O468 * $S$4</f>
        <v>3</v>
      </c>
    </row>
    <row r="469" spans="1:17">
      <c r="A469" s="2">
        <v>468</v>
      </c>
      <c r="B469" s="4">
        <f t="shared" si="35"/>
        <v>9</v>
      </c>
      <c r="C469" s="4">
        <f t="shared" si="36"/>
        <v>12</v>
      </c>
      <c r="D469" s="4">
        <f t="shared" si="37"/>
        <v>2023</v>
      </c>
      <c r="E469" s="4" t="str">
        <f t="shared" si="38"/>
        <v>Sat</v>
      </c>
      <c r="F469" s="4" t="str">
        <f t="shared" si="39"/>
        <v>Dec</v>
      </c>
      <c r="G469" s="3">
        <v>45269</v>
      </c>
      <c r="H469" s="4" t="s">
        <v>673</v>
      </c>
      <c r="I469" s="4" t="s">
        <v>4</v>
      </c>
      <c r="J469" s="4" t="str" cm="1">
        <f t="array" ref="J469">_xlfn.IFS(K469&gt;=50, "Senior", K469&gt;=30, "Adult", K469&lt;30,"Young Adult")</f>
        <v>Adult</v>
      </c>
      <c r="K469" s="4">
        <v>43</v>
      </c>
      <c r="L469" s="4" t="s">
        <v>8</v>
      </c>
      <c r="M469" s="4">
        <v>1</v>
      </c>
      <c r="N469" s="22">
        <v>25</v>
      </c>
      <c r="O469" s="24">
        <f>M469 * N469</f>
        <v>25</v>
      </c>
      <c r="P469" s="16">
        <f>O469 * $S$3</f>
        <v>0.375</v>
      </c>
      <c r="Q469" s="16">
        <f>O469 * $S$4</f>
        <v>0.5</v>
      </c>
    </row>
    <row r="470" spans="1:17">
      <c r="A470" s="2">
        <v>469</v>
      </c>
      <c r="B470" s="4">
        <f t="shared" si="35"/>
        <v>8</v>
      </c>
      <c r="C470" s="4">
        <f t="shared" si="36"/>
        <v>5</v>
      </c>
      <c r="D470" s="4">
        <f t="shared" si="37"/>
        <v>2023</v>
      </c>
      <c r="E470" s="4" t="str">
        <f t="shared" si="38"/>
        <v>Mon</v>
      </c>
      <c r="F470" s="4" t="str">
        <f t="shared" si="39"/>
        <v>May</v>
      </c>
      <c r="G470" s="3">
        <v>45054</v>
      </c>
      <c r="H470" s="4" t="s">
        <v>674</v>
      </c>
      <c r="I470" s="4" t="s">
        <v>4</v>
      </c>
      <c r="J470" s="4" t="str" cm="1">
        <f t="array" ref="J470">_xlfn.IFS(K470&gt;=50, "Senior", K470&gt;=30, "Adult", K470&lt;30,"Young Adult")</f>
        <v>Adult</v>
      </c>
      <c r="K470" s="4">
        <v>43</v>
      </c>
      <c r="L470" s="4" t="s">
        <v>6</v>
      </c>
      <c r="M470" s="4">
        <v>3</v>
      </c>
      <c r="N470" s="22">
        <v>25</v>
      </c>
      <c r="O470" s="24">
        <f>M470 * N470</f>
        <v>75</v>
      </c>
      <c r="P470" s="16">
        <f>O470 * $S$3</f>
        <v>1.125</v>
      </c>
      <c r="Q470" s="16">
        <f>O470 * $S$4</f>
        <v>1.5</v>
      </c>
    </row>
    <row r="471" spans="1:17">
      <c r="A471" s="2">
        <v>470</v>
      </c>
      <c r="B471" s="4">
        <f t="shared" si="35"/>
        <v>17</v>
      </c>
      <c r="C471" s="4">
        <f t="shared" si="36"/>
        <v>5</v>
      </c>
      <c r="D471" s="4">
        <f t="shared" si="37"/>
        <v>2023</v>
      </c>
      <c r="E471" s="4" t="str">
        <f t="shared" si="38"/>
        <v>Wed</v>
      </c>
      <c r="F471" s="4" t="str">
        <f t="shared" si="39"/>
        <v>May</v>
      </c>
      <c r="G471" s="3">
        <v>45063</v>
      </c>
      <c r="H471" s="4" t="s">
        <v>675</v>
      </c>
      <c r="I471" s="4" t="s">
        <v>3</v>
      </c>
      <c r="J471" s="4" t="str" cm="1">
        <f t="array" ref="J471">_xlfn.IFS(K471&gt;=50, "Senior", K471&gt;=30, "Adult", K471&lt;30,"Young Adult")</f>
        <v>Adult</v>
      </c>
      <c r="K471" s="4">
        <v>43</v>
      </c>
      <c r="L471" s="4" t="s">
        <v>7</v>
      </c>
      <c r="M471" s="4">
        <v>2</v>
      </c>
      <c r="N471" s="22">
        <v>500</v>
      </c>
      <c r="O471" s="24">
        <f>M471 * N471</f>
        <v>1000</v>
      </c>
      <c r="P471" s="16">
        <f>O471 * $S$3</f>
        <v>15</v>
      </c>
      <c r="Q471" s="16">
        <f>O471 * $S$4</f>
        <v>20</v>
      </c>
    </row>
    <row r="472" spans="1:17">
      <c r="A472" s="2">
        <v>471</v>
      </c>
      <c r="B472" s="4">
        <f t="shared" si="35"/>
        <v>23</v>
      </c>
      <c r="C472" s="4">
        <f t="shared" si="36"/>
        <v>3</v>
      </c>
      <c r="D472" s="4">
        <f t="shared" si="37"/>
        <v>2023</v>
      </c>
      <c r="E472" s="4" t="str">
        <f t="shared" si="38"/>
        <v>Thu</v>
      </c>
      <c r="F472" s="4" t="str">
        <f t="shared" si="39"/>
        <v>Mar</v>
      </c>
      <c r="G472" s="3">
        <v>45008</v>
      </c>
      <c r="H472" s="4" t="s">
        <v>265</v>
      </c>
      <c r="I472" s="4" t="s">
        <v>4</v>
      </c>
      <c r="J472" s="4" t="str" cm="1">
        <f t="array" ref="J472">_xlfn.IFS(K472&gt;=50, "Senior", K472&gt;=30, "Adult", K472&lt;30,"Young Adult")</f>
        <v>Adult</v>
      </c>
      <c r="K472" s="4">
        <v>43</v>
      </c>
      <c r="L472" s="4" t="s">
        <v>7</v>
      </c>
      <c r="M472" s="4">
        <v>3</v>
      </c>
      <c r="N472" s="22">
        <v>50</v>
      </c>
      <c r="O472" s="24">
        <f>M472 * N472</f>
        <v>150</v>
      </c>
      <c r="P472" s="16">
        <f>O472 * $S$3</f>
        <v>2.25</v>
      </c>
      <c r="Q472" s="16">
        <f>O472 * $S$4</f>
        <v>3</v>
      </c>
    </row>
    <row r="473" spans="1:17">
      <c r="A473" s="2">
        <v>472</v>
      </c>
      <c r="B473" s="4">
        <f t="shared" si="35"/>
        <v>26</v>
      </c>
      <c r="C473" s="4">
        <f t="shared" si="36"/>
        <v>12</v>
      </c>
      <c r="D473" s="4">
        <f t="shared" si="37"/>
        <v>2023</v>
      </c>
      <c r="E473" s="4" t="str">
        <f t="shared" si="38"/>
        <v>Tue</v>
      </c>
      <c r="F473" s="4" t="str">
        <f t="shared" si="39"/>
        <v>Dec</v>
      </c>
      <c r="G473" s="3">
        <v>45286</v>
      </c>
      <c r="H473" s="4" t="s">
        <v>135</v>
      </c>
      <c r="I473" s="4" t="s">
        <v>3</v>
      </c>
      <c r="J473" s="4" t="str" cm="1">
        <f t="array" ref="J473">_xlfn.IFS(K473&gt;=50, "Senior", K473&gt;=30, "Adult", K473&lt;30,"Young Adult")</f>
        <v>Adult</v>
      </c>
      <c r="K473" s="4">
        <v>43</v>
      </c>
      <c r="L473" s="4" t="s">
        <v>6</v>
      </c>
      <c r="M473" s="4">
        <v>3</v>
      </c>
      <c r="N473" s="22">
        <v>300</v>
      </c>
      <c r="O473" s="24">
        <f>M473 * N473</f>
        <v>900</v>
      </c>
      <c r="P473" s="16">
        <f>O473 * $S$3</f>
        <v>13.5</v>
      </c>
      <c r="Q473" s="16">
        <f>O473 * $S$4</f>
        <v>18</v>
      </c>
    </row>
    <row r="474" spans="1:17">
      <c r="A474" s="2">
        <v>473</v>
      </c>
      <c r="B474" s="4">
        <f t="shared" si="35"/>
        <v>25</v>
      </c>
      <c r="C474" s="4">
        <f t="shared" si="36"/>
        <v>2</v>
      </c>
      <c r="D474" s="4">
        <f t="shared" si="37"/>
        <v>2023</v>
      </c>
      <c r="E474" s="4" t="str">
        <f t="shared" si="38"/>
        <v>Sat</v>
      </c>
      <c r="F474" s="4" t="str">
        <f t="shared" si="39"/>
        <v>Feb</v>
      </c>
      <c r="G474" s="3">
        <v>44982</v>
      </c>
      <c r="H474" s="4" t="s">
        <v>676</v>
      </c>
      <c r="I474" s="4" t="s">
        <v>4</v>
      </c>
      <c r="J474" s="4" t="str" cm="1">
        <f t="array" ref="J474">_xlfn.IFS(K474&gt;=50, "Senior", K474&gt;=30, "Adult", K474&lt;30,"Young Adult")</f>
        <v>Adult</v>
      </c>
      <c r="K474" s="4">
        <v>43</v>
      </c>
      <c r="L474" s="4" t="s">
        <v>6</v>
      </c>
      <c r="M474" s="4">
        <v>1</v>
      </c>
      <c r="N474" s="22">
        <v>50</v>
      </c>
      <c r="O474" s="24">
        <f>M474 * N474</f>
        <v>50</v>
      </c>
      <c r="P474" s="16">
        <f>O474 * $S$3</f>
        <v>0.75</v>
      </c>
      <c r="Q474" s="16">
        <f>O474 * $S$4</f>
        <v>1</v>
      </c>
    </row>
    <row r="475" spans="1:17">
      <c r="A475" s="2">
        <v>474</v>
      </c>
      <c r="B475" s="4">
        <f t="shared" si="35"/>
        <v>15</v>
      </c>
      <c r="C475" s="4">
        <f t="shared" si="36"/>
        <v>7</v>
      </c>
      <c r="D475" s="4">
        <f t="shared" si="37"/>
        <v>2023</v>
      </c>
      <c r="E475" s="4" t="str">
        <f t="shared" si="38"/>
        <v>Sat</v>
      </c>
      <c r="F475" s="4" t="str">
        <f t="shared" si="39"/>
        <v>Jul</v>
      </c>
      <c r="G475" s="3">
        <v>45122</v>
      </c>
      <c r="H475" s="4" t="s">
        <v>677</v>
      </c>
      <c r="I475" s="4" t="s">
        <v>3</v>
      </c>
      <c r="J475" s="4" t="str" cm="1">
        <f t="array" ref="J475">_xlfn.IFS(K475&gt;=50, "Senior", K475&gt;=30, "Adult", K475&lt;30,"Young Adult")</f>
        <v>Adult</v>
      </c>
      <c r="K475" s="4">
        <v>43</v>
      </c>
      <c r="L475" s="4" t="s">
        <v>7</v>
      </c>
      <c r="M475" s="4">
        <v>3</v>
      </c>
      <c r="N475" s="22">
        <v>500</v>
      </c>
      <c r="O475" s="24">
        <f>M475 * N475</f>
        <v>1500</v>
      </c>
      <c r="P475" s="16">
        <f>O475 * $S$3</f>
        <v>22.5</v>
      </c>
      <c r="Q475" s="16">
        <f>O475 * $S$4</f>
        <v>30</v>
      </c>
    </row>
    <row r="476" spans="1:17">
      <c r="A476" s="2">
        <v>475</v>
      </c>
      <c r="B476" s="4">
        <f t="shared" si="35"/>
        <v>20</v>
      </c>
      <c r="C476" s="4">
        <f t="shared" si="36"/>
        <v>1</v>
      </c>
      <c r="D476" s="4">
        <f t="shared" si="37"/>
        <v>2023</v>
      </c>
      <c r="E476" s="4" t="str">
        <f t="shared" si="38"/>
        <v>Fri</v>
      </c>
      <c r="F476" s="4" t="str">
        <f t="shared" si="39"/>
        <v>Jan</v>
      </c>
      <c r="G476" s="3">
        <v>44946</v>
      </c>
      <c r="H476" s="4" t="s">
        <v>678</v>
      </c>
      <c r="I476" s="4" t="s">
        <v>4</v>
      </c>
      <c r="J476" s="4" t="str" cm="1">
        <f t="array" ref="J476">_xlfn.IFS(K476&gt;=50, "Senior", K476&gt;=30, "Adult", K476&lt;30,"Young Adult")</f>
        <v>Adult</v>
      </c>
      <c r="K476" s="4">
        <v>43</v>
      </c>
      <c r="L476" s="4" t="s">
        <v>7</v>
      </c>
      <c r="M476" s="4">
        <v>3</v>
      </c>
      <c r="N476" s="22">
        <v>25</v>
      </c>
      <c r="O476" s="24">
        <f>M476 * N476</f>
        <v>75</v>
      </c>
      <c r="P476" s="16">
        <f>O476 * $S$3</f>
        <v>1.125</v>
      </c>
      <c r="Q476" s="16">
        <f>O476 * $S$4</f>
        <v>1.5</v>
      </c>
    </row>
    <row r="477" spans="1:17">
      <c r="A477" s="2">
        <v>476</v>
      </c>
      <c r="B477" s="4">
        <f t="shared" si="35"/>
        <v>29</v>
      </c>
      <c r="C477" s="4">
        <f t="shared" si="36"/>
        <v>8</v>
      </c>
      <c r="D477" s="4">
        <f t="shared" si="37"/>
        <v>2023</v>
      </c>
      <c r="E477" s="4" t="str">
        <f t="shared" si="38"/>
        <v>Tue</v>
      </c>
      <c r="F477" s="4" t="str">
        <f t="shared" si="39"/>
        <v>Aug</v>
      </c>
      <c r="G477" s="3">
        <v>45167</v>
      </c>
      <c r="H477" s="4" t="s">
        <v>679</v>
      </c>
      <c r="I477" s="4" t="s">
        <v>3</v>
      </c>
      <c r="J477" s="4" t="str" cm="1">
        <f t="array" ref="J477">_xlfn.IFS(K477&gt;=50, "Senior", K477&gt;=30, "Adult", K477&lt;30,"Young Adult")</f>
        <v>Adult</v>
      </c>
      <c r="K477" s="4">
        <v>43</v>
      </c>
      <c r="L477" s="4" t="s">
        <v>7</v>
      </c>
      <c r="M477" s="4">
        <v>4</v>
      </c>
      <c r="N477" s="22">
        <v>500</v>
      </c>
      <c r="O477" s="24">
        <f>M477 * N477</f>
        <v>2000</v>
      </c>
      <c r="P477" s="16">
        <f>O477 * $S$3</f>
        <v>30</v>
      </c>
      <c r="Q477" s="16">
        <f>O477 * $S$4</f>
        <v>40</v>
      </c>
    </row>
    <row r="478" spans="1:17">
      <c r="A478" s="2">
        <v>477</v>
      </c>
      <c r="B478" s="4">
        <f t="shared" si="35"/>
        <v>24</v>
      </c>
      <c r="C478" s="4">
        <f t="shared" si="36"/>
        <v>4</v>
      </c>
      <c r="D478" s="4">
        <f t="shared" si="37"/>
        <v>2023</v>
      </c>
      <c r="E478" s="4" t="str">
        <f t="shared" si="38"/>
        <v>Mon</v>
      </c>
      <c r="F478" s="4" t="str">
        <f t="shared" si="39"/>
        <v>Apr</v>
      </c>
      <c r="G478" s="3">
        <v>45040</v>
      </c>
      <c r="H478" s="4" t="s">
        <v>264</v>
      </c>
      <c r="I478" s="4" t="s">
        <v>4</v>
      </c>
      <c r="J478" s="4" t="str" cm="1">
        <f t="array" ref="J478">_xlfn.IFS(K478&gt;=50, "Senior", K478&gt;=30, "Adult", K478&lt;30,"Young Adult")</f>
        <v>Adult</v>
      </c>
      <c r="K478" s="4">
        <v>43</v>
      </c>
      <c r="L478" s="4" t="s">
        <v>7</v>
      </c>
      <c r="M478" s="4">
        <v>4</v>
      </c>
      <c r="N478" s="22">
        <v>30</v>
      </c>
      <c r="O478" s="24">
        <f>M478 * N478</f>
        <v>120</v>
      </c>
      <c r="P478" s="16">
        <f>O478 * $S$3</f>
        <v>1.7999999999999998</v>
      </c>
      <c r="Q478" s="16">
        <f>O478 * $S$4</f>
        <v>2.4</v>
      </c>
    </row>
    <row r="479" spans="1:17">
      <c r="A479" s="2">
        <v>478</v>
      </c>
      <c r="B479" s="4">
        <f t="shared" si="35"/>
        <v>13</v>
      </c>
      <c r="C479" s="4">
        <f t="shared" si="36"/>
        <v>4</v>
      </c>
      <c r="D479" s="4">
        <f t="shared" si="37"/>
        <v>2023</v>
      </c>
      <c r="E479" s="4" t="str">
        <f t="shared" si="38"/>
        <v>Thu</v>
      </c>
      <c r="F479" s="4" t="str">
        <f t="shared" si="39"/>
        <v>Apr</v>
      </c>
      <c r="G479" s="3">
        <v>45029</v>
      </c>
      <c r="H479" s="4" t="s">
        <v>680</v>
      </c>
      <c r="I479" s="4" t="s">
        <v>3</v>
      </c>
      <c r="J479" s="4" t="str" cm="1">
        <f t="array" ref="J479">_xlfn.IFS(K479&gt;=50, "Senior", K479&gt;=30, "Adult", K479&lt;30,"Young Adult")</f>
        <v>Adult</v>
      </c>
      <c r="K479" s="4">
        <v>43</v>
      </c>
      <c r="L479" s="4" t="s">
        <v>7</v>
      </c>
      <c r="M479" s="4">
        <v>2</v>
      </c>
      <c r="N479" s="22">
        <v>30</v>
      </c>
      <c r="O479" s="24">
        <f>M479 * N479</f>
        <v>60</v>
      </c>
      <c r="P479" s="16">
        <f>O479 * $S$3</f>
        <v>0.89999999999999991</v>
      </c>
      <c r="Q479" s="16">
        <f>O479 * $S$4</f>
        <v>1.2</v>
      </c>
    </row>
    <row r="480" spans="1:17">
      <c r="A480" s="2">
        <v>479</v>
      </c>
      <c r="B480" s="4">
        <f t="shared" si="35"/>
        <v>24</v>
      </c>
      <c r="C480" s="4">
        <f t="shared" si="36"/>
        <v>8</v>
      </c>
      <c r="D480" s="4">
        <f t="shared" si="37"/>
        <v>2023</v>
      </c>
      <c r="E480" s="4" t="str">
        <f t="shared" si="38"/>
        <v>Thu</v>
      </c>
      <c r="F480" s="4" t="str">
        <f t="shared" si="39"/>
        <v>Aug</v>
      </c>
      <c r="G480" s="3">
        <v>45162</v>
      </c>
      <c r="H480" s="4" t="s">
        <v>681</v>
      </c>
      <c r="I480" s="4" t="s">
        <v>4</v>
      </c>
      <c r="J480" s="4" t="str" cm="1">
        <f t="array" ref="J480">_xlfn.IFS(K480&gt;=50, "Senior", K480&gt;=30, "Adult", K480&lt;30,"Young Adult")</f>
        <v>Adult</v>
      </c>
      <c r="K480" s="4">
        <v>43</v>
      </c>
      <c r="L480" s="4" t="s">
        <v>8</v>
      </c>
      <c r="M480" s="4">
        <v>4</v>
      </c>
      <c r="N480" s="22">
        <v>300</v>
      </c>
      <c r="O480" s="24">
        <f>M480 * N480</f>
        <v>1200</v>
      </c>
      <c r="P480" s="16">
        <f>O480 * $S$3</f>
        <v>18</v>
      </c>
      <c r="Q480" s="16">
        <f>O480 * $S$4</f>
        <v>24</v>
      </c>
    </row>
    <row r="481" spans="1:17">
      <c r="A481" s="2">
        <v>480</v>
      </c>
      <c r="B481" s="4">
        <f t="shared" si="35"/>
        <v>29</v>
      </c>
      <c r="C481" s="4">
        <f t="shared" si="36"/>
        <v>6</v>
      </c>
      <c r="D481" s="4">
        <f t="shared" si="37"/>
        <v>2023</v>
      </c>
      <c r="E481" s="4" t="str">
        <f t="shared" si="38"/>
        <v>Thu</v>
      </c>
      <c r="F481" s="4" t="str">
        <f t="shared" si="39"/>
        <v>Jun</v>
      </c>
      <c r="G481" s="3">
        <v>45106</v>
      </c>
      <c r="H481" s="4" t="s">
        <v>134</v>
      </c>
      <c r="I481" s="4" t="s">
        <v>3</v>
      </c>
      <c r="J481" s="4" t="str" cm="1">
        <f t="array" ref="J481">_xlfn.IFS(K481&gt;=50, "Senior", K481&gt;=30, "Adult", K481&lt;30,"Young Adult")</f>
        <v>Adult</v>
      </c>
      <c r="K481" s="4">
        <v>43</v>
      </c>
      <c r="L481" s="4" t="s">
        <v>6</v>
      </c>
      <c r="M481" s="4">
        <v>4</v>
      </c>
      <c r="N481" s="22">
        <v>500</v>
      </c>
      <c r="O481" s="24">
        <f>M481 * N481</f>
        <v>2000</v>
      </c>
      <c r="P481" s="16">
        <f>O481 * $S$3</f>
        <v>30</v>
      </c>
      <c r="Q481" s="16">
        <f>O481 * $S$4</f>
        <v>40</v>
      </c>
    </row>
    <row r="482" spans="1:17">
      <c r="A482" s="2">
        <v>481</v>
      </c>
      <c r="B482" s="4">
        <f t="shared" si="35"/>
        <v>6</v>
      </c>
      <c r="C482" s="4">
        <f t="shared" si="36"/>
        <v>6</v>
      </c>
      <c r="D482" s="4">
        <f t="shared" si="37"/>
        <v>2023</v>
      </c>
      <c r="E482" s="4" t="str">
        <f t="shared" si="38"/>
        <v>Tue</v>
      </c>
      <c r="F482" s="4" t="str">
        <f t="shared" si="39"/>
        <v>Jun</v>
      </c>
      <c r="G482" s="3">
        <v>45083</v>
      </c>
      <c r="H482" s="4" t="s">
        <v>682</v>
      </c>
      <c r="I482" s="4" t="s">
        <v>3</v>
      </c>
      <c r="J482" s="4" t="str" cm="1">
        <f t="array" ref="J482">_xlfn.IFS(K482&gt;=50, "Senior", K482&gt;=30, "Adult", K482&lt;30,"Young Adult")</f>
        <v>Adult</v>
      </c>
      <c r="K482" s="4">
        <v>43</v>
      </c>
      <c r="L482" s="4" t="s">
        <v>8</v>
      </c>
      <c r="M482" s="4">
        <v>4</v>
      </c>
      <c r="N482" s="22">
        <v>300</v>
      </c>
      <c r="O482" s="24">
        <f>M482 * N482</f>
        <v>1200</v>
      </c>
      <c r="P482" s="16">
        <f>O482 * $S$3</f>
        <v>18</v>
      </c>
      <c r="Q482" s="16">
        <f>O482 * $S$4</f>
        <v>24</v>
      </c>
    </row>
    <row r="483" spans="1:17">
      <c r="A483" s="2">
        <v>482</v>
      </c>
      <c r="B483" s="4">
        <f t="shared" si="35"/>
        <v>27</v>
      </c>
      <c r="C483" s="4">
        <f t="shared" si="36"/>
        <v>4</v>
      </c>
      <c r="D483" s="4">
        <f t="shared" si="37"/>
        <v>2023</v>
      </c>
      <c r="E483" s="4" t="str">
        <f t="shared" si="38"/>
        <v>Thu</v>
      </c>
      <c r="F483" s="4" t="str">
        <f t="shared" si="39"/>
        <v>Apr</v>
      </c>
      <c r="G483" s="3">
        <v>45043</v>
      </c>
      <c r="H483" s="4" t="s">
        <v>683</v>
      </c>
      <c r="I483" s="4" t="s">
        <v>3</v>
      </c>
      <c r="J483" s="4" t="str" cm="1">
        <f t="array" ref="J483">_xlfn.IFS(K483&gt;=50, "Senior", K483&gt;=30, "Adult", K483&lt;30,"Young Adult")</f>
        <v>Adult</v>
      </c>
      <c r="K483" s="4">
        <v>43</v>
      </c>
      <c r="L483" s="4" t="s">
        <v>7</v>
      </c>
      <c r="M483" s="4">
        <v>4</v>
      </c>
      <c r="N483" s="22">
        <v>300</v>
      </c>
      <c r="O483" s="24">
        <f>M483 * N483</f>
        <v>1200</v>
      </c>
      <c r="P483" s="16">
        <f>O483 * $S$3</f>
        <v>18</v>
      </c>
      <c r="Q483" s="16">
        <f>O483 * $S$4</f>
        <v>24</v>
      </c>
    </row>
    <row r="484" spans="1:17">
      <c r="A484" s="2">
        <v>483</v>
      </c>
      <c r="B484" s="4">
        <f t="shared" si="35"/>
        <v>25</v>
      </c>
      <c r="C484" s="4">
        <f t="shared" si="36"/>
        <v>4</v>
      </c>
      <c r="D484" s="4">
        <f t="shared" si="37"/>
        <v>2023</v>
      </c>
      <c r="E484" s="4" t="str">
        <f t="shared" si="38"/>
        <v>Tue</v>
      </c>
      <c r="F484" s="4" t="str">
        <f t="shared" si="39"/>
        <v>Apr</v>
      </c>
      <c r="G484" s="3">
        <v>45041</v>
      </c>
      <c r="H484" s="4" t="s">
        <v>684</v>
      </c>
      <c r="I484" s="4" t="s">
        <v>4</v>
      </c>
      <c r="J484" s="4" t="str" cm="1">
        <f t="array" ref="J484">_xlfn.IFS(K484&gt;=50, "Senior", K484&gt;=30, "Adult", K484&lt;30,"Young Adult")</f>
        <v>Adult</v>
      </c>
      <c r="K484" s="4">
        <v>43</v>
      </c>
      <c r="L484" s="4" t="s">
        <v>7</v>
      </c>
      <c r="M484" s="4">
        <v>1</v>
      </c>
      <c r="N484" s="22">
        <v>30</v>
      </c>
      <c r="O484" s="24">
        <f>M484 * N484</f>
        <v>30</v>
      </c>
      <c r="P484" s="16">
        <f>O484 * $S$3</f>
        <v>0.44999999999999996</v>
      </c>
      <c r="Q484" s="16">
        <f>O484 * $S$4</f>
        <v>0.6</v>
      </c>
    </row>
    <row r="485" spans="1:17">
      <c r="A485" s="2">
        <v>484</v>
      </c>
      <c r="B485" s="4">
        <f t="shared" si="35"/>
        <v>13</v>
      </c>
      <c r="C485" s="4">
        <f t="shared" si="36"/>
        <v>1</v>
      </c>
      <c r="D485" s="4">
        <f t="shared" si="37"/>
        <v>2023</v>
      </c>
      <c r="E485" s="4" t="str">
        <f t="shared" si="38"/>
        <v>Fri</v>
      </c>
      <c r="F485" s="4" t="str">
        <f t="shared" si="39"/>
        <v>Jan</v>
      </c>
      <c r="G485" s="3">
        <v>44939</v>
      </c>
      <c r="H485" s="4" t="s">
        <v>685</v>
      </c>
      <c r="I485" s="4" t="s">
        <v>3</v>
      </c>
      <c r="J485" s="4" t="str" cm="1">
        <f t="array" ref="J485">_xlfn.IFS(K485&gt;=50, "Senior", K485&gt;=30, "Adult", K485&lt;30,"Young Adult")</f>
        <v>Adult</v>
      </c>
      <c r="K485" s="4">
        <v>43</v>
      </c>
      <c r="L485" s="4" t="s">
        <v>7</v>
      </c>
      <c r="M485" s="4">
        <v>4</v>
      </c>
      <c r="N485" s="22">
        <v>300</v>
      </c>
      <c r="O485" s="24">
        <f>M485 * N485</f>
        <v>1200</v>
      </c>
      <c r="P485" s="16">
        <f>O485 * $S$3</f>
        <v>18</v>
      </c>
      <c r="Q485" s="16">
        <f>O485 * $S$4</f>
        <v>24</v>
      </c>
    </row>
    <row r="486" spans="1:17">
      <c r="A486" s="2">
        <v>485</v>
      </c>
      <c r="B486" s="4">
        <f t="shared" si="35"/>
        <v>4</v>
      </c>
      <c r="C486" s="4">
        <f t="shared" si="36"/>
        <v>12</v>
      </c>
      <c r="D486" s="4">
        <f t="shared" si="37"/>
        <v>2023</v>
      </c>
      <c r="E486" s="4" t="str">
        <f t="shared" si="38"/>
        <v>Mon</v>
      </c>
      <c r="F486" s="4" t="str">
        <f t="shared" si="39"/>
        <v>Dec</v>
      </c>
      <c r="G486" s="3">
        <v>45264</v>
      </c>
      <c r="H486" s="4" t="s">
        <v>686</v>
      </c>
      <c r="I486" s="4" t="s">
        <v>4</v>
      </c>
      <c r="J486" s="4" t="str" cm="1">
        <f t="array" ref="J486">_xlfn.IFS(K486&gt;=50, "Senior", K486&gt;=30, "Adult", K486&lt;30,"Young Adult")</f>
        <v>Adult</v>
      </c>
      <c r="K486" s="4">
        <v>43</v>
      </c>
      <c r="L486" s="4" t="s">
        <v>8</v>
      </c>
      <c r="M486" s="4">
        <v>1</v>
      </c>
      <c r="N486" s="22">
        <v>30</v>
      </c>
      <c r="O486" s="24">
        <f>M486 * N486</f>
        <v>30</v>
      </c>
      <c r="P486" s="16">
        <f>O486 * $S$3</f>
        <v>0.44999999999999996</v>
      </c>
      <c r="Q486" s="16">
        <f>O486 * $S$4</f>
        <v>0.6</v>
      </c>
    </row>
    <row r="487" spans="1:17">
      <c r="A487" s="2">
        <v>486</v>
      </c>
      <c r="B487" s="4">
        <f t="shared" si="35"/>
        <v>9</v>
      </c>
      <c r="C487" s="4">
        <f t="shared" si="36"/>
        <v>4</v>
      </c>
      <c r="D487" s="4">
        <f t="shared" si="37"/>
        <v>2023</v>
      </c>
      <c r="E487" s="4" t="str">
        <f t="shared" si="38"/>
        <v>Sun</v>
      </c>
      <c r="F487" s="4" t="str">
        <f t="shared" si="39"/>
        <v>Apr</v>
      </c>
      <c r="G487" s="3">
        <v>45025</v>
      </c>
      <c r="H487" s="4" t="s">
        <v>687</v>
      </c>
      <c r="I487" s="4" t="s">
        <v>3</v>
      </c>
      <c r="J487" s="4" t="str" cm="1">
        <f t="array" ref="J487">_xlfn.IFS(K487&gt;=50, "Senior", K487&gt;=30, "Adult", K487&lt;30,"Young Adult")</f>
        <v>Adult</v>
      </c>
      <c r="K487" s="4">
        <v>43</v>
      </c>
      <c r="L487" s="4" t="s">
        <v>8</v>
      </c>
      <c r="M487" s="4">
        <v>1</v>
      </c>
      <c r="N487" s="22">
        <v>25</v>
      </c>
      <c r="O487" s="24">
        <f>M487 * N487</f>
        <v>25</v>
      </c>
      <c r="P487" s="16">
        <f>O487 * $S$3</f>
        <v>0.375</v>
      </c>
      <c r="Q487" s="16">
        <f>O487 * $S$4</f>
        <v>0.5</v>
      </c>
    </row>
    <row r="488" spans="1:17">
      <c r="A488" s="2">
        <v>487</v>
      </c>
      <c r="B488" s="4">
        <f t="shared" si="35"/>
        <v>24</v>
      </c>
      <c r="C488" s="4">
        <f t="shared" si="36"/>
        <v>7</v>
      </c>
      <c r="D488" s="4">
        <f t="shared" si="37"/>
        <v>2023</v>
      </c>
      <c r="E488" s="4" t="str">
        <f t="shared" si="38"/>
        <v>Mon</v>
      </c>
      <c r="F488" s="4" t="str">
        <f t="shared" si="39"/>
        <v>Jul</v>
      </c>
      <c r="G488" s="3">
        <v>45131</v>
      </c>
      <c r="H488" s="4" t="s">
        <v>263</v>
      </c>
      <c r="I488" s="4" t="s">
        <v>4</v>
      </c>
      <c r="J488" s="4" t="str" cm="1">
        <f t="array" ref="J488">_xlfn.IFS(K488&gt;=50, "Senior", K488&gt;=30, "Adult", K488&lt;30,"Young Adult")</f>
        <v>Adult</v>
      </c>
      <c r="K488" s="4">
        <v>43</v>
      </c>
      <c r="L488" s="4" t="s">
        <v>7</v>
      </c>
      <c r="M488" s="4">
        <v>4</v>
      </c>
      <c r="N488" s="22">
        <v>500</v>
      </c>
      <c r="O488" s="24">
        <f>M488 * N488</f>
        <v>2000</v>
      </c>
      <c r="P488" s="16">
        <f>O488 * $S$3</f>
        <v>30</v>
      </c>
      <c r="Q488" s="16">
        <f>O488 * $S$4</f>
        <v>40</v>
      </c>
    </row>
    <row r="489" spans="1:17">
      <c r="A489" s="2">
        <v>488</v>
      </c>
      <c r="B489" s="4">
        <f t="shared" si="35"/>
        <v>18</v>
      </c>
      <c r="C489" s="4">
        <f t="shared" si="36"/>
        <v>6</v>
      </c>
      <c r="D489" s="4">
        <f t="shared" si="37"/>
        <v>2023</v>
      </c>
      <c r="E489" s="4" t="str">
        <f t="shared" si="38"/>
        <v>Sun</v>
      </c>
      <c r="F489" s="4" t="str">
        <f t="shared" si="39"/>
        <v>Jun</v>
      </c>
      <c r="G489" s="3">
        <v>45095</v>
      </c>
      <c r="H489" s="4" t="s">
        <v>688</v>
      </c>
      <c r="I489" s="4" t="s">
        <v>3</v>
      </c>
      <c r="J489" s="4" t="str" cm="1">
        <f t="array" ref="J489">_xlfn.IFS(K489&gt;=50, "Senior", K489&gt;=30, "Adult", K489&lt;30,"Young Adult")</f>
        <v>Adult</v>
      </c>
      <c r="K489" s="4">
        <v>42</v>
      </c>
      <c r="L489" s="4" t="s">
        <v>8</v>
      </c>
      <c r="M489" s="4">
        <v>3</v>
      </c>
      <c r="N489" s="22">
        <v>300</v>
      </c>
      <c r="O489" s="24">
        <f>M489 * N489</f>
        <v>900</v>
      </c>
      <c r="P489" s="16">
        <f>O489 * $S$3</f>
        <v>13.5</v>
      </c>
      <c r="Q489" s="16">
        <f>O489 * $S$4</f>
        <v>18</v>
      </c>
    </row>
    <row r="490" spans="1:17">
      <c r="A490" s="2">
        <v>489</v>
      </c>
      <c r="B490" s="4">
        <f t="shared" si="35"/>
        <v>23</v>
      </c>
      <c r="C490" s="4">
        <f t="shared" si="36"/>
        <v>5</v>
      </c>
      <c r="D490" s="4">
        <f t="shared" si="37"/>
        <v>2023</v>
      </c>
      <c r="E490" s="4" t="str">
        <f t="shared" si="38"/>
        <v>Tue</v>
      </c>
      <c r="F490" s="4" t="str">
        <f t="shared" si="39"/>
        <v>May</v>
      </c>
      <c r="G490" s="3">
        <v>45069</v>
      </c>
      <c r="H490" s="4" t="s">
        <v>689</v>
      </c>
      <c r="I490" s="4" t="s">
        <v>4</v>
      </c>
      <c r="J490" s="4" t="str" cm="1">
        <f t="array" ref="J490">_xlfn.IFS(K490&gt;=50, "Senior", K490&gt;=30, "Adult", K490&lt;30,"Young Adult")</f>
        <v>Adult</v>
      </c>
      <c r="K490" s="4">
        <v>42</v>
      </c>
      <c r="L490" s="4" t="s">
        <v>8</v>
      </c>
      <c r="M490" s="4">
        <v>1</v>
      </c>
      <c r="N490" s="22">
        <v>30</v>
      </c>
      <c r="O490" s="24">
        <f>M490 * N490</f>
        <v>30</v>
      </c>
      <c r="P490" s="16">
        <f>O490 * $S$3</f>
        <v>0.44999999999999996</v>
      </c>
      <c r="Q490" s="16">
        <f>O490 * $S$4</f>
        <v>0.6</v>
      </c>
    </row>
    <row r="491" spans="1:17">
      <c r="A491" s="2">
        <v>490</v>
      </c>
      <c r="B491" s="4">
        <f t="shared" si="35"/>
        <v>5</v>
      </c>
      <c r="C491" s="4">
        <f t="shared" si="36"/>
        <v>2</v>
      </c>
      <c r="D491" s="4">
        <f t="shared" si="37"/>
        <v>2023</v>
      </c>
      <c r="E491" s="4" t="str">
        <f t="shared" si="38"/>
        <v>Sun</v>
      </c>
      <c r="F491" s="4" t="str">
        <f t="shared" si="39"/>
        <v>Feb</v>
      </c>
      <c r="G491" s="3">
        <v>44962</v>
      </c>
      <c r="H491" s="4" t="s">
        <v>262</v>
      </c>
      <c r="I491" s="4" t="s">
        <v>4</v>
      </c>
      <c r="J491" s="4" t="str" cm="1">
        <f t="array" ref="J491">_xlfn.IFS(K491&gt;=50, "Senior", K491&gt;=30, "Adult", K491&lt;30,"Young Adult")</f>
        <v>Adult</v>
      </c>
      <c r="K491" s="4">
        <v>42</v>
      </c>
      <c r="L491" s="4" t="s">
        <v>7</v>
      </c>
      <c r="M491" s="4">
        <v>3</v>
      </c>
      <c r="N491" s="22">
        <v>50</v>
      </c>
      <c r="O491" s="24">
        <f>M491 * N491</f>
        <v>150</v>
      </c>
      <c r="P491" s="16">
        <f>O491 * $S$3</f>
        <v>2.25</v>
      </c>
      <c r="Q491" s="16">
        <f>O491 * $S$4</f>
        <v>3</v>
      </c>
    </row>
    <row r="492" spans="1:17">
      <c r="A492" s="2">
        <v>491</v>
      </c>
      <c r="B492" s="4">
        <f t="shared" si="35"/>
        <v>23</v>
      </c>
      <c r="C492" s="4">
        <f t="shared" si="36"/>
        <v>5</v>
      </c>
      <c r="D492" s="4">
        <f t="shared" si="37"/>
        <v>2023</v>
      </c>
      <c r="E492" s="4" t="str">
        <f t="shared" si="38"/>
        <v>Tue</v>
      </c>
      <c r="F492" s="4" t="str">
        <f t="shared" si="39"/>
        <v>May</v>
      </c>
      <c r="G492" s="3">
        <v>45069</v>
      </c>
      <c r="H492" s="4" t="s">
        <v>690</v>
      </c>
      <c r="I492" s="4" t="s">
        <v>3</v>
      </c>
      <c r="J492" s="4" t="str" cm="1">
        <f t="array" ref="J492">_xlfn.IFS(K492&gt;=50, "Senior", K492&gt;=30, "Adult", K492&lt;30,"Young Adult")</f>
        <v>Adult</v>
      </c>
      <c r="K492" s="4">
        <v>42</v>
      </c>
      <c r="L492" s="4" t="s">
        <v>8</v>
      </c>
      <c r="M492" s="4">
        <v>3</v>
      </c>
      <c r="N492" s="22">
        <v>300</v>
      </c>
      <c r="O492" s="24">
        <f>M492 * N492</f>
        <v>900</v>
      </c>
      <c r="P492" s="16">
        <f>O492 * $S$3</f>
        <v>13.5</v>
      </c>
      <c r="Q492" s="16">
        <f>O492 * $S$4</f>
        <v>18</v>
      </c>
    </row>
    <row r="493" spans="1:17">
      <c r="A493" s="2">
        <v>492</v>
      </c>
      <c r="B493" s="4">
        <f t="shared" si="35"/>
        <v>29</v>
      </c>
      <c r="C493" s="4">
        <f t="shared" si="36"/>
        <v>6</v>
      </c>
      <c r="D493" s="4">
        <f t="shared" si="37"/>
        <v>2023</v>
      </c>
      <c r="E493" s="4" t="str">
        <f t="shared" si="38"/>
        <v>Thu</v>
      </c>
      <c r="F493" s="4" t="str">
        <f t="shared" si="39"/>
        <v>Jun</v>
      </c>
      <c r="G493" s="3">
        <v>45106</v>
      </c>
      <c r="H493" s="4" t="s">
        <v>691</v>
      </c>
      <c r="I493" s="4" t="s">
        <v>4</v>
      </c>
      <c r="J493" s="4" t="str" cm="1">
        <f t="array" ref="J493">_xlfn.IFS(K493&gt;=50, "Senior", K493&gt;=30, "Adult", K493&lt;30,"Young Adult")</f>
        <v>Adult</v>
      </c>
      <c r="K493" s="4">
        <v>42</v>
      </c>
      <c r="L493" s="4" t="s">
        <v>6</v>
      </c>
      <c r="M493" s="4">
        <v>4</v>
      </c>
      <c r="N493" s="22">
        <v>25</v>
      </c>
      <c r="O493" s="24">
        <f>M493 * N493</f>
        <v>100</v>
      </c>
      <c r="P493" s="16">
        <f>O493 * $S$3</f>
        <v>1.5</v>
      </c>
      <c r="Q493" s="16">
        <f>O493 * $S$4</f>
        <v>2</v>
      </c>
    </row>
    <row r="494" spans="1:17">
      <c r="A494" s="2">
        <v>493</v>
      </c>
      <c r="B494" s="4">
        <f t="shared" si="35"/>
        <v>25</v>
      </c>
      <c r="C494" s="4">
        <f t="shared" si="36"/>
        <v>11</v>
      </c>
      <c r="D494" s="4">
        <f t="shared" si="37"/>
        <v>2023</v>
      </c>
      <c r="E494" s="4" t="str">
        <f t="shared" si="38"/>
        <v>Sat</v>
      </c>
      <c r="F494" s="4" t="str">
        <f t="shared" si="39"/>
        <v>Nov</v>
      </c>
      <c r="G494" s="3">
        <v>45255</v>
      </c>
      <c r="H494" s="4" t="s">
        <v>133</v>
      </c>
      <c r="I494" s="4" t="s">
        <v>4</v>
      </c>
      <c r="J494" s="4" t="str" cm="1">
        <f t="array" ref="J494">_xlfn.IFS(K494&gt;=50, "Senior", K494&gt;=30, "Adult", K494&lt;30,"Young Adult")</f>
        <v>Adult</v>
      </c>
      <c r="K494" s="4">
        <v>42</v>
      </c>
      <c r="L494" s="4" t="s">
        <v>6</v>
      </c>
      <c r="M494" s="4">
        <v>2</v>
      </c>
      <c r="N494" s="22">
        <v>25</v>
      </c>
      <c r="O494" s="24">
        <f>M494 * N494</f>
        <v>50</v>
      </c>
      <c r="P494" s="16">
        <f>O494 * $S$3</f>
        <v>0.75</v>
      </c>
      <c r="Q494" s="16">
        <f>O494 * $S$4</f>
        <v>1</v>
      </c>
    </row>
    <row r="495" spans="1:17">
      <c r="A495" s="2">
        <v>494</v>
      </c>
      <c r="B495" s="4">
        <f t="shared" si="35"/>
        <v>18</v>
      </c>
      <c r="C495" s="4">
        <f t="shared" si="36"/>
        <v>9</v>
      </c>
      <c r="D495" s="4">
        <f t="shared" si="37"/>
        <v>2023</v>
      </c>
      <c r="E495" s="4" t="str">
        <f t="shared" si="38"/>
        <v>Mon</v>
      </c>
      <c r="F495" s="4" t="str">
        <f t="shared" si="39"/>
        <v>Sep</v>
      </c>
      <c r="G495" s="3">
        <v>45187</v>
      </c>
      <c r="H495" s="4" t="s">
        <v>132</v>
      </c>
      <c r="I495" s="4" t="s">
        <v>3</v>
      </c>
      <c r="J495" s="4" t="str" cm="1">
        <f t="array" ref="J495">_xlfn.IFS(K495&gt;=50, "Senior", K495&gt;=30, "Adult", K495&lt;30,"Young Adult")</f>
        <v>Adult</v>
      </c>
      <c r="K495" s="4">
        <v>42</v>
      </c>
      <c r="L495" s="4" t="s">
        <v>6</v>
      </c>
      <c r="M495" s="4">
        <v>4</v>
      </c>
      <c r="N495" s="22">
        <v>50</v>
      </c>
      <c r="O495" s="24">
        <f>M495 * N495</f>
        <v>200</v>
      </c>
      <c r="P495" s="16">
        <f>O495 * $S$3</f>
        <v>3</v>
      </c>
      <c r="Q495" s="16">
        <f>O495 * $S$4</f>
        <v>4</v>
      </c>
    </row>
    <row r="496" spans="1:17">
      <c r="A496" s="2">
        <v>495</v>
      </c>
      <c r="B496" s="4">
        <f t="shared" si="35"/>
        <v>24</v>
      </c>
      <c r="C496" s="4">
        <f t="shared" si="36"/>
        <v>7</v>
      </c>
      <c r="D496" s="4">
        <f t="shared" si="37"/>
        <v>2023</v>
      </c>
      <c r="E496" s="4" t="str">
        <f t="shared" si="38"/>
        <v>Mon</v>
      </c>
      <c r="F496" s="4" t="str">
        <f t="shared" si="39"/>
        <v>Jul</v>
      </c>
      <c r="G496" s="3">
        <v>45131</v>
      </c>
      <c r="H496" s="4" t="s">
        <v>692</v>
      </c>
      <c r="I496" s="4" t="s">
        <v>4</v>
      </c>
      <c r="J496" s="4" t="str" cm="1">
        <f t="array" ref="J496">_xlfn.IFS(K496&gt;=50, "Senior", K496&gt;=30, "Adult", K496&lt;30,"Young Adult")</f>
        <v>Adult</v>
      </c>
      <c r="K496" s="4">
        <v>42</v>
      </c>
      <c r="L496" s="4" t="s">
        <v>6</v>
      </c>
      <c r="M496" s="4">
        <v>2</v>
      </c>
      <c r="N496" s="22">
        <v>30</v>
      </c>
      <c r="O496" s="24">
        <f>M496 * N496</f>
        <v>60</v>
      </c>
      <c r="P496" s="16">
        <f>O496 * $S$3</f>
        <v>0.89999999999999991</v>
      </c>
      <c r="Q496" s="16">
        <f>O496 * $S$4</f>
        <v>1.2</v>
      </c>
    </row>
    <row r="497" spans="1:17">
      <c r="A497" s="2">
        <v>496</v>
      </c>
      <c r="B497" s="4">
        <f t="shared" si="35"/>
        <v>14</v>
      </c>
      <c r="C497" s="4">
        <f t="shared" si="36"/>
        <v>12</v>
      </c>
      <c r="D497" s="4">
        <f t="shared" si="37"/>
        <v>2023</v>
      </c>
      <c r="E497" s="4" t="str">
        <f t="shared" si="38"/>
        <v>Thu</v>
      </c>
      <c r="F497" s="4" t="str">
        <f t="shared" si="39"/>
        <v>Dec</v>
      </c>
      <c r="G497" s="3">
        <v>45274</v>
      </c>
      <c r="H497" s="4" t="s">
        <v>693</v>
      </c>
      <c r="I497" s="4" t="s">
        <v>4</v>
      </c>
      <c r="J497" s="4" t="str" cm="1">
        <f t="array" ref="J497">_xlfn.IFS(K497&gt;=50, "Senior", K497&gt;=30, "Adult", K497&lt;30,"Young Adult")</f>
        <v>Adult</v>
      </c>
      <c r="K497" s="4">
        <v>42</v>
      </c>
      <c r="L497" s="4" t="s">
        <v>7</v>
      </c>
      <c r="M497" s="4">
        <v>2</v>
      </c>
      <c r="N497" s="22">
        <v>300</v>
      </c>
      <c r="O497" s="24">
        <f>M497 * N497</f>
        <v>600</v>
      </c>
      <c r="P497" s="16">
        <f>O497 * $S$3</f>
        <v>9</v>
      </c>
      <c r="Q497" s="16">
        <f>O497 * $S$4</f>
        <v>12</v>
      </c>
    </row>
    <row r="498" spans="1:17">
      <c r="A498" s="2">
        <v>497</v>
      </c>
      <c r="B498" s="4">
        <f t="shared" si="35"/>
        <v>2</v>
      </c>
      <c r="C498" s="4">
        <f t="shared" si="36"/>
        <v>10</v>
      </c>
      <c r="D498" s="4">
        <f t="shared" si="37"/>
        <v>2023</v>
      </c>
      <c r="E498" s="4" t="str">
        <f t="shared" si="38"/>
        <v>Mon</v>
      </c>
      <c r="F498" s="4" t="str">
        <f t="shared" si="39"/>
        <v>Oct</v>
      </c>
      <c r="G498" s="3">
        <v>45201</v>
      </c>
      <c r="H498" s="4" t="s">
        <v>261</v>
      </c>
      <c r="I498" s="4" t="s">
        <v>4</v>
      </c>
      <c r="J498" s="4" t="str" cm="1">
        <f t="array" ref="J498">_xlfn.IFS(K498&gt;=50, "Senior", K498&gt;=30, "Adult", K498&lt;30,"Young Adult")</f>
        <v>Adult</v>
      </c>
      <c r="K498" s="4">
        <v>42</v>
      </c>
      <c r="L498" s="4" t="s">
        <v>7</v>
      </c>
      <c r="M498" s="4">
        <v>4</v>
      </c>
      <c r="N498" s="22">
        <v>30</v>
      </c>
      <c r="O498" s="24">
        <f>M498 * N498</f>
        <v>120</v>
      </c>
      <c r="P498" s="16">
        <f>O498 * $S$3</f>
        <v>1.7999999999999998</v>
      </c>
      <c r="Q498" s="16">
        <f>O498 * $S$4</f>
        <v>2.4</v>
      </c>
    </row>
    <row r="499" spans="1:17">
      <c r="A499" s="2">
        <v>498</v>
      </c>
      <c r="B499" s="4">
        <f t="shared" si="35"/>
        <v>19</v>
      </c>
      <c r="C499" s="4">
        <f t="shared" si="36"/>
        <v>6</v>
      </c>
      <c r="D499" s="4">
        <f t="shared" si="37"/>
        <v>2023</v>
      </c>
      <c r="E499" s="4" t="str">
        <f t="shared" si="38"/>
        <v>Mon</v>
      </c>
      <c r="F499" s="4" t="str">
        <f t="shared" si="39"/>
        <v>Jun</v>
      </c>
      <c r="G499" s="3">
        <v>45096</v>
      </c>
      <c r="H499" s="4" t="s">
        <v>694</v>
      </c>
      <c r="I499" s="4" t="s">
        <v>3</v>
      </c>
      <c r="J499" s="4" t="str" cm="1">
        <f t="array" ref="J499">_xlfn.IFS(K499&gt;=50, "Senior", K499&gt;=30, "Adult", K499&lt;30,"Young Adult")</f>
        <v>Adult</v>
      </c>
      <c r="K499" s="4">
        <v>42</v>
      </c>
      <c r="L499" s="4" t="s">
        <v>7</v>
      </c>
      <c r="M499" s="4">
        <v>4</v>
      </c>
      <c r="N499" s="22">
        <v>25</v>
      </c>
      <c r="O499" s="24">
        <f>M499 * N499</f>
        <v>100</v>
      </c>
      <c r="P499" s="16">
        <f>O499 * $S$3</f>
        <v>1.5</v>
      </c>
      <c r="Q499" s="16">
        <f>O499 * $S$4</f>
        <v>2</v>
      </c>
    </row>
    <row r="500" spans="1:17">
      <c r="A500" s="2">
        <v>499</v>
      </c>
      <c r="B500" s="4">
        <f t="shared" si="35"/>
        <v>15</v>
      </c>
      <c r="C500" s="4">
        <f t="shared" si="36"/>
        <v>1</v>
      </c>
      <c r="D500" s="4">
        <f t="shared" si="37"/>
        <v>2023</v>
      </c>
      <c r="E500" s="4" t="str">
        <f t="shared" si="38"/>
        <v>Sun</v>
      </c>
      <c r="F500" s="4" t="str">
        <f t="shared" si="39"/>
        <v>Jan</v>
      </c>
      <c r="G500" s="3">
        <v>44941</v>
      </c>
      <c r="H500" s="4" t="s">
        <v>131</v>
      </c>
      <c r="I500" s="4" t="s">
        <v>4</v>
      </c>
      <c r="J500" s="4" t="str" cm="1">
        <f t="array" ref="J500">_xlfn.IFS(K500&gt;=50, "Senior", K500&gt;=30, "Adult", K500&lt;30,"Young Adult")</f>
        <v>Adult</v>
      </c>
      <c r="K500" s="4">
        <v>42</v>
      </c>
      <c r="L500" s="4" t="s">
        <v>6</v>
      </c>
      <c r="M500" s="4">
        <v>2</v>
      </c>
      <c r="N500" s="22">
        <v>30</v>
      </c>
      <c r="O500" s="24">
        <f>M500 * N500</f>
        <v>60</v>
      </c>
      <c r="P500" s="16">
        <f>O500 * $S$3</f>
        <v>0.89999999999999991</v>
      </c>
      <c r="Q500" s="16">
        <f>O500 * $S$4</f>
        <v>1.2</v>
      </c>
    </row>
    <row r="501" spans="1:17">
      <c r="A501" s="2">
        <v>500</v>
      </c>
      <c r="B501" s="4">
        <f t="shared" si="35"/>
        <v>1</v>
      </c>
      <c r="C501" s="4">
        <f t="shared" si="36"/>
        <v>3</v>
      </c>
      <c r="D501" s="4">
        <f t="shared" si="37"/>
        <v>2023</v>
      </c>
      <c r="E501" s="4" t="str">
        <f t="shared" si="38"/>
        <v>Wed</v>
      </c>
      <c r="F501" s="4" t="str">
        <f t="shared" si="39"/>
        <v>Mar</v>
      </c>
      <c r="G501" s="3">
        <v>44986</v>
      </c>
      <c r="H501" s="4" t="s">
        <v>695</v>
      </c>
      <c r="I501" s="4" t="s">
        <v>3</v>
      </c>
      <c r="J501" s="4" t="str" cm="1">
        <f t="array" ref="J501">_xlfn.IFS(K501&gt;=50, "Senior", K501&gt;=30, "Adult", K501&lt;30,"Young Adult")</f>
        <v>Adult</v>
      </c>
      <c r="K501" s="4">
        <v>42</v>
      </c>
      <c r="L501" s="4" t="s">
        <v>6</v>
      </c>
      <c r="M501" s="4">
        <v>4</v>
      </c>
      <c r="N501" s="22">
        <v>25</v>
      </c>
      <c r="O501" s="24">
        <f>M501 * N501</f>
        <v>100</v>
      </c>
      <c r="P501" s="16">
        <f>O501 * $S$3</f>
        <v>1.5</v>
      </c>
      <c r="Q501" s="16">
        <f>O501 * $S$4</f>
        <v>2</v>
      </c>
    </row>
    <row r="502" spans="1:17">
      <c r="A502" s="2">
        <v>501</v>
      </c>
      <c r="B502" s="4">
        <f t="shared" si="35"/>
        <v>14</v>
      </c>
      <c r="C502" s="4">
        <f t="shared" si="36"/>
        <v>5</v>
      </c>
      <c r="D502" s="4">
        <f t="shared" si="37"/>
        <v>2023</v>
      </c>
      <c r="E502" s="4" t="str">
        <f t="shared" si="38"/>
        <v>Sun</v>
      </c>
      <c r="F502" s="4" t="str">
        <f t="shared" si="39"/>
        <v>May</v>
      </c>
      <c r="G502" s="3">
        <v>45060</v>
      </c>
      <c r="H502" s="4" t="s">
        <v>696</v>
      </c>
      <c r="I502" s="4" t="s">
        <v>4</v>
      </c>
      <c r="J502" s="4" t="str" cm="1">
        <f t="array" ref="J502">_xlfn.IFS(K502&gt;=50, "Senior", K502&gt;=30, "Adult", K502&lt;30,"Young Adult")</f>
        <v>Adult</v>
      </c>
      <c r="K502" s="4">
        <v>42</v>
      </c>
      <c r="L502" s="4" t="s">
        <v>8</v>
      </c>
      <c r="M502" s="4">
        <v>2</v>
      </c>
      <c r="N502" s="22">
        <v>30</v>
      </c>
      <c r="O502" s="24">
        <f>M502 * N502</f>
        <v>60</v>
      </c>
      <c r="P502" s="16">
        <f>O502 * $S$3</f>
        <v>0.89999999999999991</v>
      </c>
      <c r="Q502" s="16">
        <f>O502 * $S$4</f>
        <v>1.2</v>
      </c>
    </row>
    <row r="503" spans="1:17">
      <c r="A503" s="2">
        <v>502</v>
      </c>
      <c r="B503" s="4">
        <f t="shared" si="35"/>
        <v>2</v>
      </c>
      <c r="C503" s="4">
        <f t="shared" si="36"/>
        <v>4</v>
      </c>
      <c r="D503" s="4">
        <f t="shared" si="37"/>
        <v>2023</v>
      </c>
      <c r="E503" s="4" t="str">
        <f t="shared" si="38"/>
        <v>Sun</v>
      </c>
      <c r="F503" s="4" t="str">
        <f t="shared" si="39"/>
        <v>Apr</v>
      </c>
      <c r="G503" s="3">
        <v>45018</v>
      </c>
      <c r="H503" s="4" t="s">
        <v>697</v>
      </c>
      <c r="I503" s="4" t="s">
        <v>4</v>
      </c>
      <c r="J503" s="4" t="str" cm="1">
        <f t="array" ref="J503">_xlfn.IFS(K503&gt;=50, "Senior", K503&gt;=30, "Adult", K503&lt;30,"Young Adult")</f>
        <v>Adult</v>
      </c>
      <c r="K503" s="4">
        <v>42</v>
      </c>
      <c r="L503" s="4" t="s">
        <v>8</v>
      </c>
      <c r="M503" s="4">
        <v>3</v>
      </c>
      <c r="N503" s="22">
        <v>50</v>
      </c>
      <c r="O503" s="24">
        <f>M503 * N503</f>
        <v>150</v>
      </c>
      <c r="P503" s="16">
        <f>O503 * $S$3</f>
        <v>2.25</v>
      </c>
      <c r="Q503" s="16">
        <f>O503 * $S$4</f>
        <v>3</v>
      </c>
    </row>
    <row r="504" spans="1:17">
      <c r="A504" s="2">
        <v>503</v>
      </c>
      <c r="B504" s="4">
        <f t="shared" si="35"/>
        <v>25</v>
      </c>
      <c r="C504" s="4">
        <f t="shared" si="36"/>
        <v>10</v>
      </c>
      <c r="D504" s="4">
        <f t="shared" si="37"/>
        <v>2023</v>
      </c>
      <c r="E504" s="4" t="str">
        <f t="shared" si="38"/>
        <v>Wed</v>
      </c>
      <c r="F504" s="4" t="str">
        <f t="shared" si="39"/>
        <v>Oct</v>
      </c>
      <c r="G504" s="3">
        <v>45224</v>
      </c>
      <c r="H504" s="4" t="s">
        <v>130</v>
      </c>
      <c r="I504" s="4" t="s">
        <v>4</v>
      </c>
      <c r="J504" s="4" t="str" cm="1">
        <f t="array" ref="J504">_xlfn.IFS(K504&gt;=50, "Senior", K504&gt;=30, "Adult", K504&lt;30,"Young Adult")</f>
        <v>Adult</v>
      </c>
      <c r="K504" s="4">
        <v>42</v>
      </c>
      <c r="L504" s="4" t="s">
        <v>6</v>
      </c>
      <c r="M504" s="4">
        <v>4</v>
      </c>
      <c r="N504" s="22">
        <v>500</v>
      </c>
      <c r="O504" s="24">
        <f>M504 * N504</f>
        <v>2000</v>
      </c>
      <c r="P504" s="16">
        <f>O504 * $S$3</f>
        <v>30</v>
      </c>
      <c r="Q504" s="16">
        <f>O504 * $S$4</f>
        <v>40</v>
      </c>
    </row>
    <row r="505" spans="1:17">
      <c r="A505" s="2">
        <v>504</v>
      </c>
      <c r="B505" s="4">
        <f t="shared" si="35"/>
        <v>16</v>
      </c>
      <c r="C505" s="4">
        <f t="shared" si="36"/>
        <v>5</v>
      </c>
      <c r="D505" s="4">
        <f t="shared" si="37"/>
        <v>2023</v>
      </c>
      <c r="E505" s="4" t="str">
        <f t="shared" si="38"/>
        <v>Tue</v>
      </c>
      <c r="F505" s="4" t="str">
        <f t="shared" si="39"/>
        <v>May</v>
      </c>
      <c r="G505" s="3">
        <v>45062</v>
      </c>
      <c r="H505" s="4" t="s">
        <v>129</v>
      </c>
      <c r="I505" s="4" t="s">
        <v>3</v>
      </c>
      <c r="J505" s="4" t="str" cm="1">
        <f t="array" ref="J505">_xlfn.IFS(K505&gt;=50, "Senior", K505&gt;=30, "Adult", K505&lt;30,"Young Adult")</f>
        <v>Adult</v>
      </c>
      <c r="K505" s="4">
        <v>42</v>
      </c>
      <c r="L505" s="4" t="s">
        <v>6</v>
      </c>
      <c r="M505" s="4">
        <v>3</v>
      </c>
      <c r="N505" s="22">
        <v>50</v>
      </c>
      <c r="O505" s="24">
        <f>M505 * N505</f>
        <v>150</v>
      </c>
      <c r="P505" s="16">
        <f>O505 * $S$3</f>
        <v>2.25</v>
      </c>
      <c r="Q505" s="16">
        <f>O505 * $S$4</f>
        <v>3</v>
      </c>
    </row>
    <row r="506" spans="1:17">
      <c r="A506" s="2">
        <v>505</v>
      </c>
      <c r="B506" s="4">
        <f t="shared" si="35"/>
        <v>20</v>
      </c>
      <c r="C506" s="4">
        <f t="shared" si="36"/>
        <v>1</v>
      </c>
      <c r="D506" s="4">
        <f t="shared" si="37"/>
        <v>2023</v>
      </c>
      <c r="E506" s="4" t="str">
        <f t="shared" si="38"/>
        <v>Fri</v>
      </c>
      <c r="F506" s="4" t="str">
        <f t="shared" si="39"/>
        <v>Jan</v>
      </c>
      <c r="G506" s="3">
        <v>44946</v>
      </c>
      <c r="H506" s="4" t="s">
        <v>698</v>
      </c>
      <c r="I506" s="4" t="s">
        <v>4</v>
      </c>
      <c r="J506" s="4" t="str" cm="1">
        <f t="array" ref="J506">_xlfn.IFS(K506&gt;=50, "Senior", K506&gt;=30, "Adult", K506&lt;30,"Young Adult")</f>
        <v>Adult</v>
      </c>
      <c r="K506" s="4">
        <v>42</v>
      </c>
      <c r="L506" s="4" t="s">
        <v>6</v>
      </c>
      <c r="M506" s="4">
        <v>1</v>
      </c>
      <c r="N506" s="22">
        <v>50</v>
      </c>
      <c r="O506" s="24">
        <f>M506 * N506</f>
        <v>50</v>
      </c>
      <c r="P506" s="16">
        <f>O506 * $S$3</f>
        <v>0.75</v>
      </c>
      <c r="Q506" s="16">
        <f>O506 * $S$4</f>
        <v>1</v>
      </c>
    </row>
    <row r="507" spans="1:17">
      <c r="A507" s="2">
        <v>506</v>
      </c>
      <c r="B507" s="4">
        <f t="shared" si="35"/>
        <v>25</v>
      </c>
      <c r="C507" s="4">
        <f t="shared" si="36"/>
        <v>2</v>
      </c>
      <c r="D507" s="4">
        <f t="shared" si="37"/>
        <v>2023</v>
      </c>
      <c r="E507" s="4" t="str">
        <f t="shared" si="38"/>
        <v>Sat</v>
      </c>
      <c r="F507" s="4" t="str">
        <f t="shared" si="39"/>
        <v>Feb</v>
      </c>
      <c r="G507" s="3">
        <v>44982</v>
      </c>
      <c r="H507" s="4" t="s">
        <v>128</v>
      </c>
      <c r="I507" s="4" t="s">
        <v>4</v>
      </c>
      <c r="J507" s="4" t="str" cm="1">
        <f t="array" ref="J507">_xlfn.IFS(K507&gt;=50, "Senior", K507&gt;=30, "Adult", K507&lt;30,"Young Adult")</f>
        <v>Adult</v>
      </c>
      <c r="K507" s="4">
        <v>42</v>
      </c>
      <c r="L507" s="4" t="s">
        <v>6</v>
      </c>
      <c r="M507" s="4">
        <v>3</v>
      </c>
      <c r="N507" s="22">
        <v>500</v>
      </c>
      <c r="O507" s="24">
        <f>M507 * N507</f>
        <v>1500</v>
      </c>
      <c r="P507" s="16">
        <f>O507 * $S$3</f>
        <v>22.5</v>
      </c>
      <c r="Q507" s="16">
        <f>O507 * $S$4</f>
        <v>30</v>
      </c>
    </row>
    <row r="508" spans="1:17">
      <c r="A508" s="2">
        <v>507</v>
      </c>
      <c r="B508" s="4">
        <f t="shared" si="35"/>
        <v>2</v>
      </c>
      <c r="C508" s="4">
        <f t="shared" si="36"/>
        <v>11</v>
      </c>
      <c r="D508" s="4">
        <f t="shared" si="37"/>
        <v>2023</v>
      </c>
      <c r="E508" s="4" t="str">
        <f t="shared" si="38"/>
        <v>Thu</v>
      </c>
      <c r="F508" s="4" t="str">
        <f t="shared" si="39"/>
        <v>Nov</v>
      </c>
      <c r="G508" s="3">
        <v>45232</v>
      </c>
      <c r="H508" s="4" t="s">
        <v>699</v>
      </c>
      <c r="I508" s="4" t="s">
        <v>3</v>
      </c>
      <c r="J508" s="4" t="str" cm="1">
        <f t="array" ref="J508">_xlfn.IFS(K508&gt;=50, "Senior", K508&gt;=30, "Adult", K508&lt;30,"Young Adult")</f>
        <v>Adult</v>
      </c>
      <c r="K508" s="4">
        <v>42</v>
      </c>
      <c r="L508" s="4" t="s">
        <v>8</v>
      </c>
      <c r="M508" s="4">
        <v>3</v>
      </c>
      <c r="N508" s="22">
        <v>500</v>
      </c>
      <c r="O508" s="24">
        <f>M508 * N508</f>
        <v>1500</v>
      </c>
      <c r="P508" s="16">
        <f>O508 * $S$3</f>
        <v>22.5</v>
      </c>
      <c r="Q508" s="16">
        <f>O508 * $S$4</f>
        <v>30</v>
      </c>
    </row>
    <row r="509" spans="1:17">
      <c r="A509" s="2">
        <v>508</v>
      </c>
      <c r="B509" s="4">
        <f t="shared" si="35"/>
        <v>11</v>
      </c>
      <c r="C509" s="4">
        <f t="shared" si="36"/>
        <v>8</v>
      </c>
      <c r="D509" s="4">
        <f t="shared" si="37"/>
        <v>2023</v>
      </c>
      <c r="E509" s="4" t="str">
        <f t="shared" si="38"/>
        <v>Fri</v>
      </c>
      <c r="F509" s="4" t="str">
        <f t="shared" si="39"/>
        <v>Aug</v>
      </c>
      <c r="G509" s="3">
        <v>45149</v>
      </c>
      <c r="H509" s="4" t="s">
        <v>700</v>
      </c>
      <c r="I509" s="4" t="s">
        <v>4</v>
      </c>
      <c r="J509" s="4" t="str" cm="1">
        <f t="array" ref="J509">_xlfn.IFS(K509&gt;=50, "Senior", K509&gt;=30, "Adult", K509&lt;30,"Young Adult")</f>
        <v>Adult</v>
      </c>
      <c r="K509" s="4">
        <v>42</v>
      </c>
      <c r="L509" s="4" t="s">
        <v>6</v>
      </c>
      <c r="M509" s="4">
        <v>2</v>
      </c>
      <c r="N509" s="22">
        <v>300</v>
      </c>
      <c r="O509" s="24">
        <f>M509 * N509</f>
        <v>600</v>
      </c>
      <c r="P509" s="16">
        <f>O509 * $S$3</f>
        <v>9</v>
      </c>
      <c r="Q509" s="16">
        <f>O509 * $S$4</f>
        <v>12</v>
      </c>
    </row>
    <row r="510" spans="1:17">
      <c r="A510" s="2">
        <v>509</v>
      </c>
      <c r="B510" s="4">
        <f t="shared" si="35"/>
        <v>26</v>
      </c>
      <c r="C510" s="4">
        <f t="shared" si="36"/>
        <v>6</v>
      </c>
      <c r="D510" s="4">
        <f t="shared" si="37"/>
        <v>2023</v>
      </c>
      <c r="E510" s="4" t="str">
        <f t="shared" si="38"/>
        <v>Mon</v>
      </c>
      <c r="F510" s="4" t="str">
        <f t="shared" si="39"/>
        <v>Jun</v>
      </c>
      <c r="G510" s="3">
        <v>45103</v>
      </c>
      <c r="H510" s="4" t="s">
        <v>701</v>
      </c>
      <c r="I510" s="4" t="s">
        <v>3</v>
      </c>
      <c r="J510" s="4" t="str" cm="1">
        <f t="array" ref="J510">_xlfn.IFS(K510&gt;=50, "Senior", K510&gt;=30, "Adult", K510&lt;30,"Young Adult")</f>
        <v>Adult</v>
      </c>
      <c r="K510" s="4">
        <v>42</v>
      </c>
      <c r="L510" s="4" t="s">
        <v>8</v>
      </c>
      <c r="M510" s="4">
        <v>3</v>
      </c>
      <c r="N510" s="22">
        <v>300</v>
      </c>
      <c r="O510" s="24">
        <f>M510 * N510</f>
        <v>900</v>
      </c>
      <c r="P510" s="16">
        <f>O510 * $S$3</f>
        <v>13.5</v>
      </c>
      <c r="Q510" s="16">
        <f>O510 * $S$4</f>
        <v>18</v>
      </c>
    </row>
    <row r="511" spans="1:17">
      <c r="A511" s="2">
        <v>510</v>
      </c>
      <c r="B511" s="4">
        <f t="shared" si="35"/>
        <v>10</v>
      </c>
      <c r="C511" s="4">
        <f t="shared" si="36"/>
        <v>6</v>
      </c>
      <c r="D511" s="4">
        <f t="shared" si="37"/>
        <v>2023</v>
      </c>
      <c r="E511" s="4" t="str">
        <f t="shared" si="38"/>
        <v>Sat</v>
      </c>
      <c r="F511" s="4" t="str">
        <f t="shared" si="39"/>
        <v>Jun</v>
      </c>
      <c r="G511" s="3">
        <v>45087</v>
      </c>
      <c r="H511" s="4" t="s">
        <v>127</v>
      </c>
      <c r="I511" s="4" t="s">
        <v>3</v>
      </c>
      <c r="J511" s="4" t="str" cm="1">
        <f t="array" ref="J511">_xlfn.IFS(K511&gt;=50, "Senior", K511&gt;=30, "Adult", K511&lt;30,"Young Adult")</f>
        <v>Adult</v>
      </c>
      <c r="K511" s="4">
        <v>42</v>
      </c>
      <c r="L511" s="4" t="s">
        <v>6</v>
      </c>
      <c r="M511" s="4">
        <v>4</v>
      </c>
      <c r="N511" s="22">
        <v>50</v>
      </c>
      <c r="O511" s="24">
        <f>M511 * N511</f>
        <v>200</v>
      </c>
      <c r="P511" s="16">
        <f>O511 * $S$3</f>
        <v>3</v>
      </c>
      <c r="Q511" s="16">
        <f>O511 * $S$4</f>
        <v>4</v>
      </c>
    </row>
    <row r="512" spans="1:17">
      <c r="A512" s="2">
        <v>511</v>
      </c>
      <c r="B512" s="4">
        <f t="shared" si="35"/>
        <v>12</v>
      </c>
      <c r="C512" s="4">
        <f t="shared" si="36"/>
        <v>8</v>
      </c>
      <c r="D512" s="4">
        <f t="shared" si="37"/>
        <v>2023</v>
      </c>
      <c r="E512" s="4" t="str">
        <f t="shared" si="38"/>
        <v>Sat</v>
      </c>
      <c r="F512" s="4" t="str">
        <f t="shared" si="39"/>
        <v>Aug</v>
      </c>
      <c r="G512" s="3">
        <v>45150</v>
      </c>
      <c r="H512" s="4" t="s">
        <v>125</v>
      </c>
      <c r="I512" s="4" t="s">
        <v>4</v>
      </c>
      <c r="J512" s="4" t="str" cm="1">
        <f t="array" ref="J512">_xlfn.IFS(K512&gt;=50, "Senior", K512&gt;=30, "Adult", K512&lt;30,"Young Adult")</f>
        <v>Adult</v>
      </c>
      <c r="K512" s="4">
        <v>42</v>
      </c>
      <c r="L512" s="4" t="s">
        <v>6</v>
      </c>
      <c r="M512" s="4">
        <v>2</v>
      </c>
      <c r="N512" s="22">
        <v>50</v>
      </c>
      <c r="O512" s="24">
        <f>M512 * N512</f>
        <v>100</v>
      </c>
      <c r="P512" s="16">
        <f>O512 * $S$3</f>
        <v>1.5</v>
      </c>
      <c r="Q512" s="16">
        <f>O512 * $S$4</f>
        <v>2</v>
      </c>
    </row>
    <row r="513" spans="1:17">
      <c r="A513" s="2">
        <v>512</v>
      </c>
      <c r="B513" s="4">
        <f t="shared" si="35"/>
        <v>7</v>
      </c>
      <c r="C513" s="4">
        <f t="shared" si="36"/>
        <v>11</v>
      </c>
      <c r="D513" s="4">
        <f t="shared" si="37"/>
        <v>2023</v>
      </c>
      <c r="E513" s="4" t="str">
        <f t="shared" si="38"/>
        <v>Tue</v>
      </c>
      <c r="F513" s="4" t="str">
        <f t="shared" si="39"/>
        <v>Nov</v>
      </c>
      <c r="G513" s="3">
        <v>45237</v>
      </c>
      <c r="H513" s="4" t="s">
        <v>702</v>
      </c>
      <c r="I513" s="4" t="s">
        <v>3</v>
      </c>
      <c r="J513" s="4" t="str" cm="1">
        <f t="array" ref="J513">_xlfn.IFS(K513&gt;=50, "Senior", K513&gt;=30, "Adult", K513&lt;30,"Young Adult")</f>
        <v>Adult</v>
      </c>
      <c r="K513" s="4">
        <v>42</v>
      </c>
      <c r="L513" s="4" t="s">
        <v>6</v>
      </c>
      <c r="M513" s="4">
        <v>1</v>
      </c>
      <c r="N513" s="22">
        <v>25</v>
      </c>
      <c r="O513" s="24">
        <f>M513 * N513</f>
        <v>25</v>
      </c>
      <c r="P513" s="16">
        <f>O513 * $S$3</f>
        <v>0.375</v>
      </c>
      <c r="Q513" s="16">
        <f>O513 * $S$4</f>
        <v>0.5</v>
      </c>
    </row>
    <row r="514" spans="1:17">
      <c r="A514" s="2">
        <v>513</v>
      </c>
      <c r="B514" s="4">
        <f t="shared" si="35"/>
        <v>19</v>
      </c>
      <c r="C514" s="4">
        <f t="shared" si="36"/>
        <v>9</v>
      </c>
      <c r="D514" s="4">
        <f t="shared" si="37"/>
        <v>2023</v>
      </c>
      <c r="E514" s="4" t="str">
        <f t="shared" si="38"/>
        <v>Tue</v>
      </c>
      <c r="F514" s="4" t="str">
        <f t="shared" si="39"/>
        <v>Sep</v>
      </c>
      <c r="G514" s="3">
        <v>45188</v>
      </c>
      <c r="H514" s="4" t="s">
        <v>703</v>
      </c>
      <c r="I514" s="4" t="s">
        <v>4</v>
      </c>
      <c r="J514" s="4" t="str" cm="1">
        <f t="array" ref="J514">_xlfn.IFS(K514&gt;=50, "Senior", K514&gt;=30, "Adult", K514&lt;30,"Young Adult")</f>
        <v>Adult</v>
      </c>
      <c r="K514" s="4">
        <v>42</v>
      </c>
      <c r="L514" s="4" t="s">
        <v>8</v>
      </c>
      <c r="M514" s="4">
        <v>4</v>
      </c>
      <c r="N514" s="22">
        <v>25</v>
      </c>
      <c r="O514" s="24">
        <f>M514 * N514</f>
        <v>100</v>
      </c>
      <c r="P514" s="16">
        <f>O514 * $S$3</f>
        <v>1.5</v>
      </c>
      <c r="Q514" s="16">
        <f>O514 * $S$4</f>
        <v>2</v>
      </c>
    </row>
    <row r="515" spans="1:17">
      <c r="A515" s="2">
        <v>514</v>
      </c>
      <c r="B515" s="4">
        <f t="shared" ref="B515:B578" si="40">DAY(G515)</f>
        <v>1</v>
      </c>
      <c r="C515" s="4">
        <f t="shared" ref="C515:C578" si="41">MONTH(G515)</f>
        <v>3</v>
      </c>
      <c r="D515" s="4">
        <f t="shared" ref="D515:D578" si="42">YEAR(G515)</f>
        <v>2023</v>
      </c>
      <c r="E515" s="4" t="str">
        <f t="shared" ref="E515:E578" si="43">TEXT(G515,"DDD")</f>
        <v>Wed</v>
      </c>
      <c r="F515" s="4" t="str">
        <f t="shared" ref="F515:F578" si="44">TEXT(G515,"MMM")</f>
        <v>Mar</v>
      </c>
      <c r="G515" s="3">
        <v>44986</v>
      </c>
      <c r="H515" s="4" t="s">
        <v>704</v>
      </c>
      <c r="I515" s="4" t="s">
        <v>3</v>
      </c>
      <c r="J515" s="4" t="str" cm="1">
        <f t="array" ref="J515">_xlfn.IFS(K515&gt;=50, "Senior", K515&gt;=30, "Adult", K515&lt;30,"Young Adult")</f>
        <v>Adult</v>
      </c>
      <c r="K515" s="4">
        <v>41</v>
      </c>
      <c r="L515" s="4" t="s">
        <v>8</v>
      </c>
      <c r="M515" s="4">
        <v>1</v>
      </c>
      <c r="N515" s="22">
        <v>300</v>
      </c>
      <c r="O515" s="24">
        <f>M515 * N515</f>
        <v>300</v>
      </c>
      <c r="P515" s="16">
        <f>O515 * $S$3</f>
        <v>4.5</v>
      </c>
      <c r="Q515" s="16">
        <f>O515 * $S$4</f>
        <v>6</v>
      </c>
    </row>
    <row r="516" spans="1:17">
      <c r="A516" s="2">
        <v>515</v>
      </c>
      <c r="B516" s="4">
        <f t="shared" si="40"/>
        <v>17</v>
      </c>
      <c r="C516" s="4">
        <f t="shared" si="41"/>
        <v>7</v>
      </c>
      <c r="D516" s="4">
        <f t="shared" si="42"/>
        <v>2023</v>
      </c>
      <c r="E516" s="4" t="str">
        <f t="shared" si="43"/>
        <v>Mon</v>
      </c>
      <c r="F516" s="4" t="str">
        <f t="shared" si="44"/>
        <v>Jul</v>
      </c>
      <c r="G516" s="3">
        <v>45124</v>
      </c>
      <c r="H516" s="4" t="s">
        <v>260</v>
      </c>
      <c r="I516" s="4" t="s">
        <v>3</v>
      </c>
      <c r="J516" s="4" t="str" cm="1">
        <f t="array" ref="J516">_xlfn.IFS(K516&gt;=50, "Senior", K516&gt;=30, "Adult", K516&lt;30,"Young Adult")</f>
        <v>Adult</v>
      </c>
      <c r="K516" s="4">
        <v>41</v>
      </c>
      <c r="L516" s="4" t="s">
        <v>7</v>
      </c>
      <c r="M516" s="4">
        <v>3</v>
      </c>
      <c r="N516" s="22">
        <v>300</v>
      </c>
      <c r="O516" s="24">
        <f>M516 * N516</f>
        <v>900</v>
      </c>
      <c r="P516" s="16">
        <f>O516 * $S$3</f>
        <v>13.5</v>
      </c>
      <c r="Q516" s="16">
        <f>O516 * $S$4</f>
        <v>18</v>
      </c>
    </row>
    <row r="517" spans="1:17">
      <c r="A517" s="2">
        <v>516</v>
      </c>
      <c r="B517" s="4">
        <f t="shared" si="40"/>
        <v>23</v>
      </c>
      <c r="C517" s="4">
        <f t="shared" si="41"/>
        <v>10</v>
      </c>
      <c r="D517" s="4">
        <f t="shared" si="42"/>
        <v>2023</v>
      </c>
      <c r="E517" s="4" t="str">
        <f t="shared" si="43"/>
        <v>Mon</v>
      </c>
      <c r="F517" s="4" t="str">
        <f t="shared" si="44"/>
        <v>Oct</v>
      </c>
      <c r="G517" s="3">
        <v>45222</v>
      </c>
      <c r="H517" s="4" t="s">
        <v>124</v>
      </c>
      <c r="I517" s="4" t="s">
        <v>4</v>
      </c>
      <c r="J517" s="4" t="str" cm="1">
        <f t="array" ref="J517">_xlfn.IFS(K517&gt;=50, "Senior", K517&gt;=30, "Adult", K517&lt;30,"Young Adult")</f>
        <v>Adult</v>
      </c>
      <c r="K517" s="4">
        <v>41</v>
      </c>
      <c r="L517" s="4" t="s">
        <v>6</v>
      </c>
      <c r="M517" s="4">
        <v>4</v>
      </c>
      <c r="N517" s="22">
        <v>25</v>
      </c>
      <c r="O517" s="24">
        <f>M517 * N517</f>
        <v>100</v>
      </c>
      <c r="P517" s="16">
        <f>O517 * $S$3</f>
        <v>1.5</v>
      </c>
      <c r="Q517" s="16">
        <f>O517 * $S$4</f>
        <v>2</v>
      </c>
    </row>
    <row r="518" spans="1:17">
      <c r="A518" s="2">
        <v>517</v>
      </c>
      <c r="B518" s="4">
        <f t="shared" si="40"/>
        <v>8</v>
      </c>
      <c r="C518" s="4">
        <f t="shared" si="41"/>
        <v>4</v>
      </c>
      <c r="D518" s="4">
        <f t="shared" si="42"/>
        <v>2023</v>
      </c>
      <c r="E518" s="4" t="str">
        <f t="shared" si="43"/>
        <v>Sat</v>
      </c>
      <c r="F518" s="4" t="str">
        <f t="shared" si="44"/>
        <v>Apr</v>
      </c>
      <c r="G518" s="3">
        <v>45024</v>
      </c>
      <c r="H518" s="4" t="s">
        <v>258</v>
      </c>
      <c r="I518" s="4" t="s">
        <v>3</v>
      </c>
      <c r="J518" s="4" t="str" cm="1">
        <f t="array" ref="J518">_xlfn.IFS(K518&gt;=50, "Senior", K518&gt;=30, "Adult", K518&lt;30,"Young Adult")</f>
        <v>Adult</v>
      </c>
      <c r="K518" s="4">
        <v>41</v>
      </c>
      <c r="L518" s="4" t="s">
        <v>7</v>
      </c>
      <c r="M518" s="4">
        <v>4</v>
      </c>
      <c r="N518" s="22">
        <v>25</v>
      </c>
      <c r="O518" s="24">
        <f>M518 * N518</f>
        <v>100</v>
      </c>
      <c r="P518" s="16">
        <f>O518 * $S$3</f>
        <v>1.5</v>
      </c>
      <c r="Q518" s="16">
        <f>O518 * $S$4</f>
        <v>2</v>
      </c>
    </row>
    <row r="519" spans="1:17">
      <c r="A519" s="2">
        <v>518</v>
      </c>
      <c r="B519" s="4">
        <f t="shared" si="40"/>
        <v>11</v>
      </c>
      <c r="C519" s="4">
        <f t="shared" si="41"/>
        <v>5</v>
      </c>
      <c r="D519" s="4">
        <f t="shared" si="42"/>
        <v>2023</v>
      </c>
      <c r="E519" s="4" t="str">
        <f t="shared" si="43"/>
        <v>Thu</v>
      </c>
      <c r="F519" s="4" t="str">
        <f t="shared" si="44"/>
        <v>May</v>
      </c>
      <c r="G519" s="3">
        <v>45057</v>
      </c>
      <c r="H519" s="4" t="s">
        <v>257</v>
      </c>
      <c r="I519" s="4" t="s">
        <v>3</v>
      </c>
      <c r="J519" s="4" t="str" cm="1">
        <f t="array" ref="J519">_xlfn.IFS(K519&gt;=50, "Senior", K519&gt;=30, "Adult", K519&lt;30,"Young Adult")</f>
        <v>Adult</v>
      </c>
      <c r="K519" s="4">
        <v>41</v>
      </c>
      <c r="L519" s="4" t="s">
        <v>7</v>
      </c>
      <c r="M519" s="4">
        <v>1</v>
      </c>
      <c r="N519" s="22">
        <v>30</v>
      </c>
      <c r="O519" s="24">
        <f>M519 * N519</f>
        <v>30</v>
      </c>
      <c r="P519" s="16">
        <f>O519 * $S$3</f>
        <v>0.44999999999999996</v>
      </c>
      <c r="Q519" s="16">
        <f>O519 * $S$4</f>
        <v>0.6</v>
      </c>
    </row>
    <row r="520" spans="1:17">
      <c r="A520" s="2">
        <v>519</v>
      </c>
      <c r="B520" s="4">
        <f t="shared" si="40"/>
        <v>23</v>
      </c>
      <c r="C520" s="4">
        <f t="shared" si="41"/>
        <v>1</v>
      </c>
      <c r="D520" s="4">
        <f t="shared" si="42"/>
        <v>2023</v>
      </c>
      <c r="E520" s="4" t="str">
        <f t="shared" si="43"/>
        <v>Mon</v>
      </c>
      <c r="F520" s="4" t="str">
        <f t="shared" si="44"/>
        <v>Jan</v>
      </c>
      <c r="G520" s="3">
        <v>44949</v>
      </c>
      <c r="H520" s="4" t="s">
        <v>705</v>
      </c>
      <c r="I520" s="4" t="s">
        <v>3</v>
      </c>
      <c r="J520" s="4" t="str" cm="1">
        <f t="array" ref="J520">_xlfn.IFS(K520&gt;=50, "Senior", K520&gt;=30, "Adult", K520&lt;30,"Young Adult")</f>
        <v>Adult</v>
      </c>
      <c r="K520" s="4">
        <v>41</v>
      </c>
      <c r="L520" s="4" t="s">
        <v>8</v>
      </c>
      <c r="M520" s="4">
        <v>4</v>
      </c>
      <c r="N520" s="22">
        <v>30</v>
      </c>
      <c r="O520" s="24">
        <f>M520 * N520</f>
        <v>120</v>
      </c>
      <c r="P520" s="16">
        <f>O520 * $S$3</f>
        <v>1.7999999999999998</v>
      </c>
      <c r="Q520" s="16">
        <f>O520 * $S$4</f>
        <v>2.4</v>
      </c>
    </row>
    <row r="521" spans="1:17">
      <c r="A521" s="2">
        <v>520</v>
      </c>
      <c r="B521" s="4">
        <f t="shared" si="40"/>
        <v>29</v>
      </c>
      <c r="C521" s="4">
        <f t="shared" si="41"/>
        <v>12</v>
      </c>
      <c r="D521" s="4">
        <f t="shared" si="42"/>
        <v>2023</v>
      </c>
      <c r="E521" s="4" t="str">
        <f t="shared" si="43"/>
        <v>Fri</v>
      </c>
      <c r="F521" s="4" t="str">
        <f t="shared" si="44"/>
        <v>Dec</v>
      </c>
      <c r="G521" s="3">
        <v>45289</v>
      </c>
      <c r="H521" s="4" t="s">
        <v>706</v>
      </c>
      <c r="I521" s="4" t="s">
        <v>3</v>
      </c>
      <c r="J521" s="4" t="str" cm="1">
        <f t="array" ref="J521">_xlfn.IFS(K521&gt;=50, "Senior", K521&gt;=30, "Adult", K521&lt;30,"Young Adult")</f>
        <v>Adult</v>
      </c>
      <c r="K521" s="4">
        <v>41</v>
      </c>
      <c r="L521" s="4" t="s">
        <v>8</v>
      </c>
      <c r="M521" s="4">
        <v>4</v>
      </c>
      <c r="N521" s="22">
        <v>25</v>
      </c>
      <c r="O521" s="24">
        <f>M521 * N521</f>
        <v>100</v>
      </c>
      <c r="P521" s="16">
        <f>O521 * $S$3</f>
        <v>1.5</v>
      </c>
      <c r="Q521" s="16">
        <f>O521 * $S$4</f>
        <v>2</v>
      </c>
    </row>
    <row r="522" spans="1:17">
      <c r="A522" s="2">
        <v>521</v>
      </c>
      <c r="B522" s="4">
        <f t="shared" si="40"/>
        <v>12</v>
      </c>
      <c r="C522" s="4">
        <f t="shared" si="41"/>
        <v>8</v>
      </c>
      <c r="D522" s="4">
        <f t="shared" si="42"/>
        <v>2023</v>
      </c>
      <c r="E522" s="4" t="str">
        <f t="shared" si="43"/>
        <v>Sat</v>
      </c>
      <c r="F522" s="4" t="str">
        <f t="shared" si="44"/>
        <v>Aug</v>
      </c>
      <c r="G522" s="3">
        <v>45150</v>
      </c>
      <c r="H522" s="4" t="s">
        <v>256</v>
      </c>
      <c r="I522" s="4" t="s">
        <v>3</v>
      </c>
      <c r="J522" s="4" t="str" cm="1">
        <f t="array" ref="J522">_xlfn.IFS(K522&gt;=50, "Senior", K522&gt;=30, "Adult", K522&lt;30,"Young Adult")</f>
        <v>Adult</v>
      </c>
      <c r="K522" s="4">
        <v>41</v>
      </c>
      <c r="L522" s="4" t="s">
        <v>7</v>
      </c>
      <c r="M522" s="4">
        <v>4</v>
      </c>
      <c r="N522" s="22">
        <v>30</v>
      </c>
      <c r="O522" s="24">
        <f>M522 * N522</f>
        <v>120</v>
      </c>
      <c r="P522" s="16">
        <f>O522 * $S$3</f>
        <v>1.7999999999999998</v>
      </c>
      <c r="Q522" s="16">
        <f>O522 * $S$4</f>
        <v>2.4</v>
      </c>
    </row>
    <row r="523" spans="1:17">
      <c r="A523" s="2">
        <v>522</v>
      </c>
      <c r="B523" s="4">
        <f t="shared" si="40"/>
        <v>1</v>
      </c>
      <c r="C523" s="4">
        <f t="shared" si="41"/>
        <v>1</v>
      </c>
      <c r="D523" s="4">
        <f t="shared" si="42"/>
        <v>2023</v>
      </c>
      <c r="E523" s="4" t="str">
        <f t="shared" si="43"/>
        <v>Sun</v>
      </c>
      <c r="F523" s="4" t="str">
        <f t="shared" si="44"/>
        <v>Jan</v>
      </c>
      <c r="G523" s="3">
        <v>44927</v>
      </c>
      <c r="H523" s="4" t="s">
        <v>122</v>
      </c>
      <c r="I523" s="4" t="s">
        <v>4</v>
      </c>
      <c r="J523" s="4" t="str" cm="1">
        <f t="array" ref="J523">_xlfn.IFS(K523&gt;=50, "Senior", K523&gt;=30, "Adult", K523&lt;30,"Young Adult")</f>
        <v>Adult</v>
      </c>
      <c r="K523" s="4">
        <v>41</v>
      </c>
      <c r="L523" s="4" t="s">
        <v>6</v>
      </c>
      <c r="M523" s="4">
        <v>3</v>
      </c>
      <c r="N523" s="22">
        <v>500</v>
      </c>
      <c r="O523" s="24">
        <f>M523 * N523</f>
        <v>1500</v>
      </c>
      <c r="P523" s="16">
        <f>O523 * $S$3</f>
        <v>22.5</v>
      </c>
      <c r="Q523" s="16">
        <f>O523 * $S$4</f>
        <v>30</v>
      </c>
    </row>
    <row r="524" spans="1:17">
      <c r="A524" s="2">
        <v>523</v>
      </c>
      <c r="B524" s="4">
        <f t="shared" si="40"/>
        <v>24</v>
      </c>
      <c r="C524" s="4">
        <f t="shared" si="41"/>
        <v>9</v>
      </c>
      <c r="D524" s="4">
        <f t="shared" si="42"/>
        <v>2023</v>
      </c>
      <c r="E524" s="4" t="str">
        <f t="shared" si="43"/>
        <v>Sun</v>
      </c>
      <c r="F524" s="4" t="str">
        <f t="shared" si="44"/>
        <v>Sep</v>
      </c>
      <c r="G524" s="3">
        <v>45193</v>
      </c>
      <c r="H524" s="4" t="s">
        <v>707</v>
      </c>
      <c r="I524" s="4" t="s">
        <v>3</v>
      </c>
      <c r="J524" s="4" t="str" cm="1">
        <f t="array" ref="J524">_xlfn.IFS(K524&gt;=50, "Senior", K524&gt;=30, "Adult", K524&lt;30,"Young Adult")</f>
        <v>Adult</v>
      </c>
      <c r="K524" s="4">
        <v>41</v>
      </c>
      <c r="L524" s="4" t="s">
        <v>8</v>
      </c>
      <c r="M524" s="4">
        <v>1</v>
      </c>
      <c r="N524" s="22">
        <v>300</v>
      </c>
      <c r="O524" s="24">
        <f>M524 * N524</f>
        <v>300</v>
      </c>
      <c r="P524" s="16">
        <f>O524 * $S$3</f>
        <v>4.5</v>
      </c>
      <c r="Q524" s="16">
        <f>O524 * $S$4</f>
        <v>6</v>
      </c>
    </row>
    <row r="525" spans="1:17">
      <c r="A525" s="2">
        <v>524</v>
      </c>
      <c r="B525" s="4">
        <f t="shared" si="40"/>
        <v>3</v>
      </c>
      <c r="C525" s="4">
        <f t="shared" si="41"/>
        <v>10</v>
      </c>
      <c r="D525" s="4">
        <f t="shared" si="42"/>
        <v>2023</v>
      </c>
      <c r="E525" s="4" t="str">
        <f t="shared" si="43"/>
        <v>Tue</v>
      </c>
      <c r="F525" s="4" t="str">
        <f t="shared" si="44"/>
        <v>Oct</v>
      </c>
      <c r="G525" s="3">
        <v>45202</v>
      </c>
      <c r="H525" s="4" t="s">
        <v>121</v>
      </c>
      <c r="I525" s="4" t="s">
        <v>4</v>
      </c>
      <c r="J525" s="4" t="str" cm="1">
        <f t="array" ref="J525">_xlfn.IFS(K525&gt;=50, "Senior", K525&gt;=30, "Adult", K525&lt;30,"Young Adult")</f>
        <v>Adult</v>
      </c>
      <c r="K525" s="4">
        <v>41</v>
      </c>
      <c r="L525" s="4" t="s">
        <v>6</v>
      </c>
      <c r="M525" s="4">
        <v>4</v>
      </c>
      <c r="N525" s="22">
        <v>300</v>
      </c>
      <c r="O525" s="24">
        <f>M525 * N525</f>
        <v>1200</v>
      </c>
      <c r="P525" s="16">
        <f>O525 * $S$3</f>
        <v>18</v>
      </c>
      <c r="Q525" s="16">
        <f>O525 * $S$4</f>
        <v>24</v>
      </c>
    </row>
    <row r="526" spans="1:17">
      <c r="A526" s="2">
        <v>525</v>
      </c>
      <c r="B526" s="4">
        <f t="shared" si="40"/>
        <v>18</v>
      </c>
      <c r="C526" s="4">
        <f t="shared" si="41"/>
        <v>12</v>
      </c>
      <c r="D526" s="4">
        <f t="shared" si="42"/>
        <v>2023</v>
      </c>
      <c r="E526" s="4" t="str">
        <f t="shared" si="43"/>
        <v>Mon</v>
      </c>
      <c r="F526" s="4" t="str">
        <f t="shared" si="44"/>
        <v>Dec</v>
      </c>
      <c r="G526" s="3">
        <v>45278</v>
      </c>
      <c r="H526" s="4" t="s">
        <v>120</v>
      </c>
      <c r="I526" s="4" t="s">
        <v>3</v>
      </c>
      <c r="J526" s="4" t="str" cm="1">
        <f t="array" ref="J526">_xlfn.IFS(K526&gt;=50, "Senior", K526&gt;=30, "Adult", K526&lt;30,"Young Adult")</f>
        <v>Adult</v>
      </c>
      <c r="K526" s="4">
        <v>41</v>
      </c>
      <c r="L526" s="4" t="s">
        <v>6</v>
      </c>
      <c r="M526" s="4">
        <v>2</v>
      </c>
      <c r="N526" s="22">
        <v>25</v>
      </c>
      <c r="O526" s="24">
        <f>M526 * N526</f>
        <v>50</v>
      </c>
      <c r="P526" s="16">
        <f>O526 * $S$3</f>
        <v>0.75</v>
      </c>
      <c r="Q526" s="16">
        <f>O526 * $S$4</f>
        <v>1</v>
      </c>
    </row>
    <row r="527" spans="1:17">
      <c r="A527" s="2">
        <v>526</v>
      </c>
      <c r="B527" s="4">
        <f t="shared" si="40"/>
        <v>10</v>
      </c>
      <c r="C527" s="4">
        <f t="shared" si="41"/>
        <v>12</v>
      </c>
      <c r="D527" s="4">
        <f t="shared" si="42"/>
        <v>2023</v>
      </c>
      <c r="E527" s="4" t="str">
        <f t="shared" si="43"/>
        <v>Sun</v>
      </c>
      <c r="F527" s="4" t="str">
        <f t="shared" si="44"/>
        <v>Dec</v>
      </c>
      <c r="G527" s="3">
        <v>45270</v>
      </c>
      <c r="H527" s="4" t="s">
        <v>255</v>
      </c>
      <c r="I527" s="4" t="s">
        <v>4</v>
      </c>
      <c r="J527" s="4" t="str" cm="1">
        <f t="array" ref="J527">_xlfn.IFS(K527&gt;=50, "Senior", K527&gt;=30, "Adult", K527&lt;30,"Young Adult")</f>
        <v>Adult</v>
      </c>
      <c r="K527" s="4">
        <v>41</v>
      </c>
      <c r="L527" s="4" t="s">
        <v>7</v>
      </c>
      <c r="M527" s="4">
        <v>2</v>
      </c>
      <c r="N527" s="22">
        <v>50</v>
      </c>
      <c r="O527" s="24">
        <f>M527 * N527</f>
        <v>100</v>
      </c>
      <c r="P527" s="16">
        <f>O527 * $S$3</f>
        <v>1.5</v>
      </c>
      <c r="Q527" s="16">
        <f>O527 * $S$4</f>
        <v>2</v>
      </c>
    </row>
    <row r="528" spans="1:17">
      <c r="A528" s="2">
        <v>527</v>
      </c>
      <c r="B528" s="4">
        <f t="shared" si="40"/>
        <v>11</v>
      </c>
      <c r="C528" s="4">
        <f t="shared" si="41"/>
        <v>4</v>
      </c>
      <c r="D528" s="4">
        <f t="shared" si="42"/>
        <v>2023</v>
      </c>
      <c r="E528" s="4" t="str">
        <f t="shared" si="43"/>
        <v>Tue</v>
      </c>
      <c r="F528" s="4" t="str">
        <f t="shared" si="44"/>
        <v>Apr</v>
      </c>
      <c r="G528" s="3">
        <v>45027</v>
      </c>
      <c r="H528" s="4" t="s">
        <v>708</v>
      </c>
      <c r="I528" s="4" t="s">
        <v>4</v>
      </c>
      <c r="J528" s="4" t="str" cm="1">
        <f t="array" ref="J528">_xlfn.IFS(K528&gt;=50, "Senior", K528&gt;=30, "Adult", K528&lt;30,"Young Adult")</f>
        <v>Adult</v>
      </c>
      <c r="K528" s="4">
        <v>41</v>
      </c>
      <c r="L528" s="4" t="s">
        <v>7</v>
      </c>
      <c r="M528" s="4">
        <v>2</v>
      </c>
      <c r="N528" s="22">
        <v>25</v>
      </c>
      <c r="O528" s="24">
        <f>M528 * N528</f>
        <v>50</v>
      </c>
      <c r="P528" s="16">
        <f>O528 * $S$3</f>
        <v>0.75</v>
      </c>
      <c r="Q528" s="16">
        <f>O528 * $S$4</f>
        <v>1</v>
      </c>
    </row>
    <row r="529" spans="1:17">
      <c r="A529" s="2">
        <v>528</v>
      </c>
      <c r="B529" s="4">
        <f t="shared" si="40"/>
        <v>6</v>
      </c>
      <c r="C529" s="4">
        <f t="shared" si="41"/>
        <v>7</v>
      </c>
      <c r="D529" s="4">
        <f t="shared" si="42"/>
        <v>2023</v>
      </c>
      <c r="E529" s="4" t="str">
        <f t="shared" si="43"/>
        <v>Thu</v>
      </c>
      <c r="F529" s="4" t="str">
        <f t="shared" si="44"/>
        <v>Jul</v>
      </c>
      <c r="G529" s="3">
        <v>45113</v>
      </c>
      <c r="H529" s="4" t="s">
        <v>254</v>
      </c>
      <c r="I529" s="4" t="s">
        <v>3</v>
      </c>
      <c r="J529" s="4" t="str" cm="1">
        <f t="array" ref="J529">_xlfn.IFS(K529&gt;=50, "Senior", K529&gt;=30, "Adult", K529&lt;30,"Young Adult")</f>
        <v>Adult</v>
      </c>
      <c r="K529" s="4">
        <v>41</v>
      </c>
      <c r="L529" s="4" t="s">
        <v>7</v>
      </c>
      <c r="M529" s="4">
        <v>2</v>
      </c>
      <c r="N529" s="22">
        <v>30</v>
      </c>
      <c r="O529" s="24">
        <f>M529 * N529</f>
        <v>60</v>
      </c>
      <c r="P529" s="16">
        <f>O529 * $S$3</f>
        <v>0.89999999999999991</v>
      </c>
      <c r="Q529" s="16">
        <f>O529 * $S$4</f>
        <v>1.2</v>
      </c>
    </row>
    <row r="530" spans="1:17">
      <c r="A530" s="2">
        <v>529</v>
      </c>
      <c r="B530" s="4">
        <f t="shared" si="40"/>
        <v>9</v>
      </c>
      <c r="C530" s="4">
        <f t="shared" si="41"/>
        <v>8</v>
      </c>
      <c r="D530" s="4">
        <f t="shared" si="42"/>
        <v>2023</v>
      </c>
      <c r="E530" s="4" t="str">
        <f t="shared" si="43"/>
        <v>Wed</v>
      </c>
      <c r="F530" s="4" t="str">
        <f t="shared" si="44"/>
        <v>Aug</v>
      </c>
      <c r="G530" s="3">
        <v>45147</v>
      </c>
      <c r="H530" s="4" t="s">
        <v>253</v>
      </c>
      <c r="I530" s="4" t="s">
        <v>3</v>
      </c>
      <c r="J530" s="4" t="str" cm="1">
        <f t="array" ref="J530">_xlfn.IFS(K530&gt;=50, "Senior", K530&gt;=30, "Adult", K530&lt;30,"Young Adult")</f>
        <v>Adult</v>
      </c>
      <c r="K530" s="4">
        <v>41</v>
      </c>
      <c r="L530" s="4" t="s">
        <v>7</v>
      </c>
      <c r="M530" s="4">
        <v>3</v>
      </c>
      <c r="N530" s="22">
        <v>50</v>
      </c>
      <c r="O530" s="24">
        <f>M530 * N530</f>
        <v>150</v>
      </c>
      <c r="P530" s="16">
        <f>O530 * $S$3</f>
        <v>2.25</v>
      </c>
      <c r="Q530" s="16">
        <f>O530 * $S$4</f>
        <v>3</v>
      </c>
    </row>
    <row r="531" spans="1:17">
      <c r="A531" s="2">
        <v>530</v>
      </c>
      <c r="B531" s="4">
        <f t="shared" si="40"/>
        <v>5</v>
      </c>
      <c r="C531" s="4">
        <f t="shared" si="41"/>
        <v>2</v>
      </c>
      <c r="D531" s="4">
        <f t="shared" si="42"/>
        <v>2023</v>
      </c>
      <c r="E531" s="4" t="str">
        <f t="shared" si="43"/>
        <v>Sun</v>
      </c>
      <c r="F531" s="4" t="str">
        <f t="shared" si="44"/>
        <v>Feb</v>
      </c>
      <c r="G531" s="3">
        <v>44962</v>
      </c>
      <c r="H531" s="4" t="s">
        <v>709</v>
      </c>
      <c r="I531" s="4" t="s">
        <v>3</v>
      </c>
      <c r="J531" s="4" t="str" cm="1">
        <f t="array" ref="J531">_xlfn.IFS(K531&gt;=50, "Senior", K531&gt;=30, "Adult", K531&lt;30,"Young Adult")</f>
        <v>Adult</v>
      </c>
      <c r="K531" s="4">
        <v>41</v>
      </c>
      <c r="L531" s="4" t="s">
        <v>8</v>
      </c>
      <c r="M531" s="4">
        <v>4</v>
      </c>
      <c r="N531" s="22">
        <v>30</v>
      </c>
      <c r="O531" s="24">
        <f>M531 * N531</f>
        <v>120</v>
      </c>
      <c r="P531" s="16">
        <f>O531 * $S$3</f>
        <v>1.7999999999999998</v>
      </c>
      <c r="Q531" s="16">
        <f>O531 * $S$4</f>
        <v>2.4</v>
      </c>
    </row>
    <row r="532" spans="1:17">
      <c r="A532" s="2">
        <v>531</v>
      </c>
      <c r="B532" s="4">
        <f t="shared" si="40"/>
        <v>7</v>
      </c>
      <c r="C532" s="4">
        <f t="shared" si="41"/>
        <v>12</v>
      </c>
      <c r="D532" s="4">
        <f t="shared" si="42"/>
        <v>2023</v>
      </c>
      <c r="E532" s="4" t="str">
        <f t="shared" si="43"/>
        <v>Thu</v>
      </c>
      <c r="F532" s="4" t="str">
        <f t="shared" si="44"/>
        <v>Dec</v>
      </c>
      <c r="G532" s="3">
        <v>45267</v>
      </c>
      <c r="H532" s="4" t="s">
        <v>710</v>
      </c>
      <c r="I532" s="4" t="s">
        <v>4</v>
      </c>
      <c r="J532" s="4" t="str" cm="1">
        <f t="array" ref="J532">_xlfn.IFS(K532&gt;=50, "Senior", K532&gt;=30, "Adult", K532&lt;30,"Young Adult")</f>
        <v>Adult</v>
      </c>
      <c r="K532" s="4">
        <v>41</v>
      </c>
      <c r="L532" s="4" t="s">
        <v>8</v>
      </c>
      <c r="M532" s="4">
        <v>1</v>
      </c>
      <c r="N532" s="22">
        <v>500</v>
      </c>
      <c r="O532" s="24">
        <f>M532 * N532</f>
        <v>500</v>
      </c>
      <c r="P532" s="16">
        <f>O532 * $S$3</f>
        <v>7.5</v>
      </c>
      <c r="Q532" s="16">
        <f>O532 * $S$4</f>
        <v>10</v>
      </c>
    </row>
    <row r="533" spans="1:17">
      <c r="A533" s="2">
        <v>532</v>
      </c>
      <c r="B533" s="4">
        <f t="shared" si="40"/>
        <v>19</v>
      </c>
      <c r="C533" s="4">
        <f t="shared" si="41"/>
        <v>6</v>
      </c>
      <c r="D533" s="4">
        <f t="shared" si="42"/>
        <v>2023</v>
      </c>
      <c r="E533" s="4" t="str">
        <f t="shared" si="43"/>
        <v>Mon</v>
      </c>
      <c r="F533" s="4" t="str">
        <f t="shared" si="44"/>
        <v>Jun</v>
      </c>
      <c r="G533" s="3">
        <v>45096</v>
      </c>
      <c r="H533" s="4" t="s">
        <v>711</v>
      </c>
      <c r="I533" s="4" t="s">
        <v>3</v>
      </c>
      <c r="J533" s="4" t="str" cm="1">
        <f t="array" ref="J533">_xlfn.IFS(K533&gt;=50, "Senior", K533&gt;=30, "Adult", K533&lt;30,"Young Adult")</f>
        <v>Adult</v>
      </c>
      <c r="K533" s="4">
        <v>41</v>
      </c>
      <c r="L533" s="4" t="s">
        <v>7</v>
      </c>
      <c r="M533" s="4">
        <v>4</v>
      </c>
      <c r="N533" s="22">
        <v>30</v>
      </c>
      <c r="O533" s="24">
        <f>M533 * N533</f>
        <v>120</v>
      </c>
      <c r="P533" s="16">
        <f>O533 * $S$3</f>
        <v>1.7999999999999998</v>
      </c>
      <c r="Q533" s="16">
        <f>O533 * $S$4</f>
        <v>2.4</v>
      </c>
    </row>
    <row r="534" spans="1:17">
      <c r="A534" s="2">
        <v>533</v>
      </c>
      <c r="B534" s="4">
        <f t="shared" si="40"/>
        <v>16</v>
      </c>
      <c r="C534" s="4">
        <f t="shared" si="41"/>
        <v>11</v>
      </c>
      <c r="D534" s="4">
        <f t="shared" si="42"/>
        <v>2023</v>
      </c>
      <c r="E534" s="4" t="str">
        <f t="shared" si="43"/>
        <v>Thu</v>
      </c>
      <c r="F534" s="4" t="str">
        <f t="shared" si="44"/>
        <v>Nov</v>
      </c>
      <c r="G534" s="3">
        <v>45246</v>
      </c>
      <c r="H534" s="4" t="s">
        <v>712</v>
      </c>
      <c r="I534" s="4" t="s">
        <v>4</v>
      </c>
      <c r="J534" s="4" t="str" cm="1">
        <f t="array" ref="J534">_xlfn.IFS(K534&gt;=50, "Senior", K534&gt;=30, "Adult", K534&lt;30,"Young Adult")</f>
        <v>Adult</v>
      </c>
      <c r="K534" s="4">
        <v>41</v>
      </c>
      <c r="L534" s="4" t="s">
        <v>8</v>
      </c>
      <c r="M534" s="4">
        <v>3</v>
      </c>
      <c r="N534" s="22">
        <v>500</v>
      </c>
      <c r="O534" s="24">
        <f>M534 * N534</f>
        <v>1500</v>
      </c>
      <c r="P534" s="16">
        <f>O534 * $S$3</f>
        <v>22.5</v>
      </c>
      <c r="Q534" s="16">
        <f>O534 * $S$4</f>
        <v>30</v>
      </c>
    </row>
    <row r="535" spans="1:17">
      <c r="A535" s="2">
        <v>534</v>
      </c>
      <c r="B535" s="4">
        <f t="shared" si="40"/>
        <v>10</v>
      </c>
      <c r="C535" s="4">
        <f t="shared" si="41"/>
        <v>6</v>
      </c>
      <c r="D535" s="4">
        <f t="shared" si="42"/>
        <v>2023</v>
      </c>
      <c r="E535" s="4" t="str">
        <f t="shared" si="43"/>
        <v>Sat</v>
      </c>
      <c r="F535" s="4" t="str">
        <f t="shared" si="44"/>
        <v>Jun</v>
      </c>
      <c r="G535" s="3">
        <v>45087</v>
      </c>
      <c r="H535" s="4" t="s">
        <v>250</v>
      </c>
      <c r="I535" s="4" t="s">
        <v>4</v>
      </c>
      <c r="J535" s="4" t="str" cm="1">
        <f t="array" ref="J535">_xlfn.IFS(K535&gt;=50, "Senior", K535&gt;=30, "Adult", K535&lt;30,"Young Adult")</f>
        <v>Adult</v>
      </c>
      <c r="K535" s="4">
        <v>41</v>
      </c>
      <c r="L535" s="4" t="s">
        <v>7</v>
      </c>
      <c r="M535" s="4">
        <v>2</v>
      </c>
      <c r="N535" s="22">
        <v>500</v>
      </c>
      <c r="O535" s="24">
        <f>M535 * N535</f>
        <v>1000</v>
      </c>
      <c r="P535" s="16">
        <f>O535 * $S$3</f>
        <v>15</v>
      </c>
      <c r="Q535" s="16">
        <f>O535 * $S$4</f>
        <v>20</v>
      </c>
    </row>
    <row r="536" spans="1:17">
      <c r="A536" s="2">
        <v>535</v>
      </c>
      <c r="B536" s="4">
        <f t="shared" si="40"/>
        <v>6</v>
      </c>
      <c r="C536" s="4">
        <f t="shared" si="41"/>
        <v>12</v>
      </c>
      <c r="D536" s="4">
        <f t="shared" si="42"/>
        <v>2023</v>
      </c>
      <c r="E536" s="4" t="str">
        <f t="shared" si="43"/>
        <v>Wed</v>
      </c>
      <c r="F536" s="4" t="str">
        <f t="shared" si="44"/>
        <v>Dec</v>
      </c>
      <c r="G536" s="3">
        <v>45266</v>
      </c>
      <c r="H536" s="4" t="s">
        <v>119</v>
      </c>
      <c r="I536" s="4" t="s">
        <v>4</v>
      </c>
      <c r="J536" s="4" t="str" cm="1">
        <f t="array" ref="J536">_xlfn.IFS(K536&gt;=50, "Senior", K536&gt;=30, "Adult", K536&lt;30,"Young Adult")</f>
        <v>Adult</v>
      </c>
      <c r="K536" s="4">
        <v>40</v>
      </c>
      <c r="L536" s="4" t="s">
        <v>6</v>
      </c>
      <c r="M536" s="4">
        <v>3</v>
      </c>
      <c r="N536" s="22">
        <v>30</v>
      </c>
      <c r="O536" s="24">
        <f>M536 * N536</f>
        <v>90</v>
      </c>
      <c r="P536" s="16">
        <f>O536 * $S$3</f>
        <v>1.3499999999999999</v>
      </c>
      <c r="Q536" s="16">
        <f>O536 * $S$4</f>
        <v>1.8</v>
      </c>
    </row>
    <row r="537" spans="1:17">
      <c r="A537" s="2">
        <v>536</v>
      </c>
      <c r="B537" s="4">
        <f t="shared" si="40"/>
        <v>5</v>
      </c>
      <c r="C537" s="4">
        <f t="shared" si="41"/>
        <v>3</v>
      </c>
      <c r="D537" s="4">
        <f t="shared" si="42"/>
        <v>2023</v>
      </c>
      <c r="E537" s="4" t="str">
        <f t="shared" si="43"/>
        <v>Sun</v>
      </c>
      <c r="F537" s="4" t="str">
        <f t="shared" si="44"/>
        <v>Mar</v>
      </c>
      <c r="G537" s="3">
        <v>44990</v>
      </c>
      <c r="H537" s="4" t="s">
        <v>713</v>
      </c>
      <c r="I537" s="4" t="s">
        <v>3</v>
      </c>
      <c r="J537" s="4" t="str" cm="1">
        <f t="array" ref="J537">_xlfn.IFS(K537&gt;=50, "Senior", K537&gt;=30, "Adult", K537&lt;30,"Young Adult")</f>
        <v>Adult</v>
      </c>
      <c r="K537" s="4">
        <v>40</v>
      </c>
      <c r="L537" s="4" t="s">
        <v>6</v>
      </c>
      <c r="M537" s="4">
        <v>4</v>
      </c>
      <c r="N537" s="22">
        <v>30</v>
      </c>
      <c r="O537" s="24">
        <f>M537 * N537</f>
        <v>120</v>
      </c>
      <c r="P537" s="16">
        <f>O537 * $S$3</f>
        <v>1.7999999999999998</v>
      </c>
      <c r="Q537" s="16">
        <f>O537 * $S$4</f>
        <v>2.4</v>
      </c>
    </row>
    <row r="538" spans="1:17">
      <c r="A538" s="2">
        <v>537</v>
      </c>
      <c r="B538" s="4">
        <f t="shared" si="40"/>
        <v>3</v>
      </c>
      <c r="C538" s="4">
        <f t="shared" si="41"/>
        <v>6</v>
      </c>
      <c r="D538" s="4">
        <f t="shared" si="42"/>
        <v>2023</v>
      </c>
      <c r="E538" s="4" t="str">
        <f t="shared" si="43"/>
        <v>Sat</v>
      </c>
      <c r="F538" s="4" t="str">
        <f t="shared" si="44"/>
        <v>Jun</v>
      </c>
      <c r="G538" s="3">
        <v>45080</v>
      </c>
      <c r="H538" s="4" t="s">
        <v>714</v>
      </c>
      <c r="I538" s="4" t="s">
        <v>3</v>
      </c>
      <c r="J538" s="4" t="str" cm="1">
        <f t="array" ref="J538">_xlfn.IFS(K538&gt;=50, "Senior", K538&gt;=30, "Adult", K538&lt;30,"Young Adult")</f>
        <v>Adult</v>
      </c>
      <c r="K538" s="4">
        <v>40</v>
      </c>
      <c r="L538" s="4" t="s">
        <v>6</v>
      </c>
      <c r="M538" s="4">
        <v>1</v>
      </c>
      <c r="N538" s="22">
        <v>500</v>
      </c>
      <c r="O538" s="24">
        <f>M538 * N538</f>
        <v>500</v>
      </c>
      <c r="P538" s="16">
        <f>O538 * $S$3</f>
        <v>7.5</v>
      </c>
      <c r="Q538" s="16">
        <f>O538 * $S$4</f>
        <v>10</v>
      </c>
    </row>
    <row r="539" spans="1:17">
      <c r="A539" s="2">
        <v>538</v>
      </c>
      <c r="B539" s="4">
        <f t="shared" si="40"/>
        <v>17</v>
      </c>
      <c r="C539" s="4">
        <f t="shared" si="41"/>
        <v>9</v>
      </c>
      <c r="D539" s="4">
        <f t="shared" si="42"/>
        <v>2023</v>
      </c>
      <c r="E539" s="4" t="str">
        <f t="shared" si="43"/>
        <v>Sun</v>
      </c>
      <c r="F539" s="4" t="str">
        <f t="shared" si="44"/>
        <v>Sep</v>
      </c>
      <c r="G539" s="3">
        <v>45186</v>
      </c>
      <c r="H539" s="4" t="s">
        <v>715</v>
      </c>
      <c r="I539" s="4" t="s">
        <v>4</v>
      </c>
      <c r="J539" s="4" t="str" cm="1">
        <f t="array" ref="J539">_xlfn.IFS(K539&gt;=50, "Senior", K539&gt;=30, "Adult", K539&lt;30,"Young Adult")</f>
        <v>Adult</v>
      </c>
      <c r="K539" s="4">
        <v>40</v>
      </c>
      <c r="L539" s="4" t="s">
        <v>7</v>
      </c>
      <c r="M539" s="4">
        <v>3</v>
      </c>
      <c r="N539" s="22">
        <v>50</v>
      </c>
      <c r="O539" s="24">
        <f>M539 * N539</f>
        <v>150</v>
      </c>
      <c r="P539" s="16">
        <f>O539 * $S$3</f>
        <v>2.25</v>
      </c>
      <c r="Q539" s="16">
        <f>O539 * $S$4</f>
        <v>3</v>
      </c>
    </row>
    <row r="540" spans="1:17">
      <c r="A540" s="2">
        <v>539</v>
      </c>
      <c r="B540" s="4">
        <f t="shared" si="40"/>
        <v>8</v>
      </c>
      <c r="C540" s="4">
        <f t="shared" si="41"/>
        <v>6</v>
      </c>
      <c r="D540" s="4">
        <f t="shared" si="42"/>
        <v>2023</v>
      </c>
      <c r="E540" s="4" t="str">
        <f t="shared" si="43"/>
        <v>Thu</v>
      </c>
      <c r="F540" s="4" t="str">
        <f t="shared" si="44"/>
        <v>Jun</v>
      </c>
      <c r="G540" s="3">
        <v>45085</v>
      </c>
      <c r="H540" s="4" t="s">
        <v>716</v>
      </c>
      <c r="I540" s="4" t="s">
        <v>4</v>
      </c>
      <c r="J540" s="4" t="str" cm="1">
        <f t="array" ref="J540">_xlfn.IFS(K540&gt;=50, "Senior", K540&gt;=30, "Adult", K540&lt;30,"Young Adult")</f>
        <v>Adult</v>
      </c>
      <c r="K540" s="4">
        <v>40</v>
      </c>
      <c r="L540" s="4" t="s">
        <v>6</v>
      </c>
      <c r="M540" s="4">
        <v>1</v>
      </c>
      <c r="N540" s="22">
        <v>500</v>
      </c>
      <c r="O540" s="24">
        <f>M540 * N540</f>
        <v>500</v>
      </c>
      <c r="P540" s="16">
        <f>O540 * $S$3</f>
        <v>7.5</v>
      </c>
      <c r="Q540" s="16">
        <f>O540 * $S$4</f>
        <v>10</v>
      </c>
    </row>
    <row r="541" spans="1:17">
      <c r="A541" s="2">
        <v>540</v>
      </c>
      <c r="B541" s="4">
        <f t="shared" si="40"/>
        <v>8</v>
      </c>
      <c r="C541" s="4">
        <f t="shared" si="41"/>
        <v>12</v>
      </c>
      <c r="D541" s="4">
        <f t="shared" si="42"/>
        <v>2023</v>
      </c>
      <c r="E541" s="4" t="str">
        <f t="shared" si="43"/>
        <v>Fri</v>
      </c>
      <c r="F541" s="4" t="str">
        <f t="shared" si="44"/>
        <v>Dec</v>
      </c>
      <c r="G541" s="3">
        <v>45268</v>
      </c>
      <c r="H541" s="4" t="s">
        <v>717</v>
      </c>
      <c r="I541" s="4" t="s">
        <v>3</v>
      </c>
      <c r="J541" s="4" t="str" cm="1">
        <f t="array" ref="J541">_xlfn.IFS(K541&gt;=50, "Senior", K541&gt;=30, "Adult", K541&lt;30,"Young Adult")</f>
        <v>Adult</v>
      </c>
      <c r="K541" s="4">
        <v>40</v>
      </c>
      <c r="L541" s="4" t="s">
        <v>8</v>
      </c>
      <c r="M541" s="4">
        <v>3</v>
      </c>
      <c r="N541" s="22">
        <v>300</v>
      </c>
      <c r="O541" s="24">
        <f>M541 * N541</f>
        <v>900</v>
      </c>
      <c r="P541" s="16">
        <f>O541 * $S$3</f>
        <v>13.5</v>
      </c>
      <c r="Q541" s="16">
        <f>O541 * $S$4</f>
        <v>18</v>
      </c>
    </row>
    <row r="542" spans="1:17">
      <c r="A542" s="2">
        <v>541</v>
      </c>
      <c r="B542" s="4">
        <f t="shared" si="40"/>
        <v>29</v>
      </c>
      <c r="C542" s="4">
        <f t="shared" si="41"/>
        <v>7</v>
      </c>
      <c r="D542" s="4">
        <f t="shared" si="42"/>
        <v>2023</v>
      </c>
      <c r="E542" s="4" t="str">
        <f t="shared" si="43"/>
        <v>Sat</v>
      </c>
      <c r="F542" s="4" t="str">
        <f t="shared" si="44"/>
        <v>Jul</v>
      </c>
      <c r="G542" s="3">
        <v>45136</v>
      </c>
      <c r="H542" s="4" t="s">
        <v>718</v>
      </c>
      <c r="I542" s="4" t="s">
        <v>4</v>
      </c>
      <c r="J542" s="4" t="str" cm="1">
        <f t="array" ref="J542">_xlfn.IFS(K542&gt;=50, "Senior", K542&gt;=30, "Adult", K542&lt;30,"Young Adult")</f>
        <v>Adult</v>
      </c>
      <c r="K542" s="4">
        <v>40</v>
      </c>
      <c r="L542" s="4" t="s">
        <v>6</v>
      </c>
      <c r="M542" s="4">
        <v>1</v>
      </c>
      <c r="N542" s="22">
        <v>500</v>
      </c>
      <c r="O542" s="24">
        <f>M542 * N542</f>
        <v>500</v>
      </c>
      <c r="P542" s="16">
        <f>O542 * $S$3</f>
        <v>7.5</v>
      </c>
      <c r="Q542" s="16">
        <f>O542 * $S$4</f>
        <v>10</v>
      </c>
    </row>
    <row r="543" spans="1:17">
      <c r="A543" s="2">
        <v>542</v>
      </c>
      <c r="B543" s="4">
        <f t="shared" si="40"/>
        <v>17</v>
      </c>
      <c r="C543" s="4">
        <f t="shared" si="41"/>
        <v>6</v>
      </c>
      <c r="D543" s="4">
        <f t="shared" si="42"/>
        <v>2023</v>
      </c>
      <c r="E543" s="4" t="str">
        <f t="shared" si="43"/>
        <v>Sat</v>
      </c>
      <c r="F543" s="4" t="str">
        <f t="shared" si="44"/>
        <v>Jun</v>
      </c>
      <c r="G543" s="3">
        <v>45094</v>
      </c>
      <c r="H543" s="4" t="s">
        <v>719</v>
      </c>
      <c r="I543" s="4" t="s">
        <v>3</v>
      </c>
      <c r="J543" s="4" t="str" cm="1">
        <f t="array" ref="J543">_xlfn.IFS(K543&gt;=50, "Senior", K543&gt;=30, "Adult", K543&lt;30,"Young Adult")</f>
        <v>Adult</v>
      </c>
      <c r="K543" s="4">
        <v>40</v>
      </c>
      <c r="L543" s="4" t="s">
        <v>6</v>
      </c>
      <c r="M543" s="4">
        <v>1</v>
      </c>
      <c r="N543" s="22">
        <v>50</v>
      </c>
      <c r="O543" s="24">
        <f>M543 * N543</f>
        <v>50</v>
      </c>
      <c r="P543" s="16">
        <f>O543 * $S$3</f>
        <v>0.75</v>
      </c>
      <c r="Q543" s="16">
        <f>O543 * $S$4</f>
        <v>1</v>
      </c>
    </row>
    <row r="544" spans="1:17">
      <c r="A544" s="2">
        <v>543</v>
      </c>
      <c r="B544" s="4">
        <f t="shared" si="40"/>
        <v>26</v>
      </c>
      <c r="C544" s="4">
        <f t="shared" si="41"/>
        <v>7</v>
      </c>
      <c r="D544" s="4">
        <f t="shared" si="42"/>
        <v>2023</v>
      </c>
      <c r="E544" s="4" t="str">
        <f t="shared" si="43"/>
        <v>Wed</v>
      </c>
      <c r="F544" s="4" t="str">
        <f t="shared" si="44"/>
        <v>Jul</v>
      </c>
      <c r="G544" s="3">
        <v>45133</v>
      </c>
      <c r="H544" s="4" t="s">
        <v>118</v>
      </c>
      <c r="I544" s="4" t="s">
        <v>4</v>
      </c>
      <c r="J544" s="4" t="str" cm="1">
        <f t="array" ref="J544">_xlfn.IFS(K544&gt;=50, "Senior", K544&gt;=30, "Adult", K544&lt;30,"Young Adult")</f>
        <v>Adult</v>
      </c>
      <c r="K544" s="4">
        <v>40</v>
      </c>
      <c r="L544" s="4" t="s">
        <v>6</v>
      </c>
      <c r="M544" s="4">
        <v>2</v>
      </c>
      <c r="N544" s="22">
        <v>300</v>
      </c>
      <c r="O544" s="24">
        <f>M544 * N544</f>
        <v>600</v>
      </c>
      <c r="P544" s="16">
        <f>O544 * $S$3</f>
        <v>9</v>
      </c>
      <c r="Q544" s="16">
        <f>O544 * $S$4</f>
        <v>12</v>
      </c>
    </row>
    <row r="545" spans="1:17">
      <c r="A545" s="2">
        <v>544</v>
      </c>
      <c r="B545" s="4">
        <f t="shared" si="40"/>
        <v>23</v>
      </c>
      <c r="C545" s="4">
        <f t="shared" si="41"/>
        <v>12</v>
      </c>
      <c r="D545" s="4">
        <f t="shared" si="42"/>
        <v>2023</v>
      </c>
      <c r="E545" s="4" t="str">
        <f t="shared" si="43"/>
        <v>Sat</v>
      </c>
      <c r="F545" s="4" t="str">
        <f t="shared" si="44"/>
        <v>Dec</v>
      </c>
      <c r="G545" s="3">
        <v>45283</v>
      </c>
      <c r="H545" s="4" t="s">
        <v>720</v>
      </c>
      <c r="I545" s="4" t="s">
        <v>3</v>
      </c>
      <c r="J545" s="4" t="str" cm="1">
        <f t="array" ref="J545">_xlfn.IFS(K545&gt;=50, "Senior", K545&gt;=30, "Adult", K545&lt;30,"Young Adult")</f>
        <v>Adult</v>
      </c>
      <c r="K545" s="4">
        <v>40</v>
      </c>
      <c r="L545" s="4" t="s">
        <v>8</v>
      </c>
      <c r="M545" s="4">
        <v>1</v>
      </c>
      <c r="N545" s="22">
        <v>25</v>
      </c>
      <c r="O545" s="24">
        <f>M545 * N545</f>
        <v>25</v>
      </c>
      <c r="P545" s="16">
        <f>O545 * $S$3</f>
        <v>0.375</v>
      </c>
      <c r="Q545" s="16">
        <f>O545 * $S$4</f>
        <v>0.5</v>
      </c>
    </row>
    <row r="546" spans="1:17">
      <c r="A546" s="2">
        <v>545</v>
      </c>
      <c r="B546" s="4">
        <f t="shared" si="40"/>
        <v>1</v>
      </c>
      <c r="C546" s="4">
        <f t="shared" si="41"/>
        <v>6</v>
      </c>
      <c r="D546" s="4">
        <f t="shared" si="42"/>
        <v>2023</v>
      </c>
      <c r="E546" s="4" t="str">
        <f t="shared" si="43"/>
        <v>Thu</v>
      </c>
      <c r="F546" s="4" t="str">
        <f t="shared" si="44"/>
        <v>Jun</v>
      </c>
      <c r="G546" s="3">
        <v>45078</v>
      </c>
      <c r="H546" s="4" t="s">
        <v>721</v>
      </c>
      <c r="I546" s="4" t="s">
        <v>4</v>
      </c>
      <c r="J546" s="4" t="str" cm="1">
        <f t="array" ref="J546">_xlfn.IFS(K546&gt;=50, "Senior", K546&gt;=30, "Adult", K546&lt;30,"Young Adult")</f>
        <v>Adult</v>
      </c>
      <c r="K546" s="4">
        <v>40</v>
      </c>
      <c r="L546" s="4" t="s">
        <v>7</v>
      </c>
      <c r="M546" s="4">
        <v>2</v>
      </c>
      <c r="N546" s="22">
        <v>25</v>
      </c>
      <c r="O546" s="24">
        <f>M546 * N546</f>
        <v>50</v>
      </c>
      <c r="P546" s="16">
        <f>O546 * $S$3</f>
        <v>0.75</v>
      </c>
      <c r="Q546" s="16">
        <f>O546 * $S$4</f>
        <v>1</v>
      </c>
    </row>
    <row r="547" spans="1:17">
      <c r="A547" s="2">
        <v>546</v>
      </c>
      <c r="B547" s="4">
        <f t="shared" si="40"/>
        <v>11</v>
      </c>
      <c r="C547" s="4">
        <f t="shared" si="41"/>
        <v>10</v>
      </c>
      <c r="D547" s="4">
        <f t="shared" si="42"/>
        <v>2023</v>
      </c>
      <c r="E547" s="4" t="str">
        <f t="shared" si="43"/>
        <v>Wed</v>
      </c>
      <c r="F547" s="4" t="str">
        <f t="shared" si="44"/>
        <v>Oct</v>
      </c>
      <c r="G547" s="3">
        <v>45210</v>
      </c>
      <c r="H547" s="4" t="s">
        <v>722</v>
      </c>
      <c r="I547" s="4" t="s">
        <v>3</v>
      </c>
      <c r="J547" s="4" t="str" cm="1">
        <f t="array" ref="J547">_xlfn.IFS(K547&gt;=50, "Senior", K547&gt;=30, "Adult", K547&lt;30,"Young Adult")</f>
        <v>Adult</v>
      </c>
      <c r="K547" s="4">
        <v>40</v>
      </c>
      <c r="L547" s="4" t="s">
        <v>8</v>
      </c>
      <c r="M547" s="4">
        <v>4</v>
      </c>
      <c r="N547" s="22">
        <v>50</v>
      </c>
      <c r="O547" s="24">
        <f>M547 * N547</f>
        <v>200</v>
      </c>
      <c r="P547" s="16">
        <f>O547 * $S$3</f>
        <v>3</v>
      </c>
      <c r="Q547" s="16">
        <f>O547 * $S$4</f>
        <v>4</v>
      </c>
    </row>
    <row r="548" spans="1:17">
      <c r="A548" s="2">
        <v>547</v>
      </c>
      <c r="B548" s="4">
        <f t="shared" si="40"/>
        <v>7</v>
      </c>
      <c r="C548" s="4">
        <f t="shared" si="41"/>
        <v>3</v>
      </c>
      <c r="D548" s="4">
        <f t="shared" si="42"/>
        <v>2023</v>
      </c>
      <c r="E548" s="4" t="str">
        <f t="shared" si="43"/>
        <v>Tue</v>
      </c>
      <c r="F548" s="4" t="str">
        <f t="shared" si="44"/>
        <v>Mar</v>
      </c>
      <c r="G548" s="3">
        <v>44992</v>
      </c>
      <c r="H548" s="4" t="s">
        <v>723</v>
      </c>
      <c r="I548" s="4" t="s">
        <v>4</v>
      </c>
      <c r="J548" s="4" t="str" cm="1">
        <f t="array" ref="J548">_xlfn.IFS(K548&gt;=50, "Senior", K548&gt;=30, "Adult", K548&lt;30,"Young Adult")</f>
        <v>Adult</v>
      </c>
      <c r="K548" s="4">
        <v>40</v>
      </c>
      <c r="L548" s="4" t="s">
        <v>7</v>
      </c>
      <c r="M548" s="4">
        <v>4</v>
      </c>
      <c r="N548" s="22">
        <v>500</v>
      </c>
      <c r="O548" s="24">
        <f>M548 * N548</f>
        <v>2000</v>
      </c>
      <c r="P548" s="16">
        <f>O548 * $S$3</f>
        <v>30</v>
      </c>
      <c r="Q548" s="16">
        <f>O548 * $S$4</f>
        <v>40</v>
      </c>
    </row>
    <row r="549" spans="1:17">
      <c r="A549" s="2">
        <v>548</v>
      </c>
      <c r="B549" s="4">
        <f t="shared" si="40"/>
        <v>9</v>
      </c>
      <c r="C549" s="4">
        <f t="shared" si="41"/>
        <v>4</v>
      </c>
      <c r="D549" s="4">
        <f t="shared" si="42"/>
        <v>2023</v>
      </c>
      <c r="E549" s="4" t="str">
        <f t="shared" si="43"/>
        <v>Sun</v>
      </c>
      <c r="F549" s="4" t="str">
        <f t="shared" si="44"/>
        <v>Apr</v>
      </c>
      <c r="G549" s="3">
        <v>45025</v>
      </c>
      <c r="H549" s="4" t="s">
        <v>724</v>
      </c>
      <c r="I549" s="4" t="s">
        <v>3</v>
      </c>
      <c r="J549" s="4" t="str" cm="1">
        <f t="array" ref="J549">_xlfn.IFS(K549&gt;=50, "Senior", K549&gt;=30, "Adult", K549&lt;30,"Young Adult")</f>
        <v>Adult</v>
      </c>
      <c r="K549" s="4">
        <v>40</v>
      </c>
      <c r="L549" s="4" t="s">
        <v>7</v>
      </c>
      <c r="M549" s="4">
        <v>2</v>
      </c>
      <c r="N549" s="22">
        <v>30</v>
      </c>
      <c r="O549" s="24">
        <f>M549 * N549</f>
        <v>60</v>
      </c>
      <c r="P549" s="16">
        <f>O549 * $S$3</f>
        <v>0.89999999999999991</v>
      </c>
      <c r="Q549" s="16">
        <f>O549 * $S$4</f>
        <v>1.2</v>
      </c>
    </row>
    <row r="550" spans="1:17">
      <c r="A550" s="2">
        <v>549</v>
      </c>
      <c r="B550" s="4">
        <f t="shared" si="40"/>
        <v>4</v>
      </c>
      <c r="C550" s="4">
        <f t="shared" si="41"/>
        <v>8</v>
      </c>
      <c r="D550" s="4">
        <f t="shared" si="42"/>
        <v>2023</v>
      </c>
      <c r="E550" s="4" t="str">
        <f t="shared" si="43"/>
        <v>Fri</v>
      </c>
      <c r="F550" s="4" t="str">
        <f t="shared" si="44"/>
        <v>Aug</v>
      </c>
      <c r="G550" s="3">
        <v>45142</v>
      </c>
      <c r="H550" s="4" t="s">
        <v>725</v>
      </c>
      <c r="I550" s="4" t="s">
        <v>3</v>
      </c>
      <c r="J550" s="4" t="str" cm="1">
        <f t="array" ref="J550">_xlfn.IFS(K550&gt;=50, "Senior", K550&gt;=30, "Adult", K550&lt;30,"Young Adult")</f>
        <v>Adult</v>
      </c>
      <c r="K550" s="4">
        <v>40</v>
      </c>
      <c r="L550" s="4" t="s">
        <v>6</v>
      </c>
      <c r="M550" s="4">
        <v>2</v>
      </c>
      <c r="N550" s="22">
        <v>50</v>
      </c>
      <c r="O550" s="24">
        <f>M550 * N550</f>
        <v>100</v>
      </c>
      <c r="P550" s="16">
        <f>O550 * $S$3</f>
        <v>1.5</v>
      </c>
      <c r="Q550" s="16">
        <f>O550 * $S$4</f>
        <v>2</v>
      </c>
    </row>
    <row r="551" spans="1:17">
      <c r="A551" s="2">
        <v>550</v>
      </c>
      <c r="B551" s="4">
        <f t="shared" si="40"/>
        <v>7</v>
      </c>
      <c r="C551" s="4">
        <f t="shared" si="41"/>
        <v>12</v>
      </c>
      <c r="D551" s="4">
        <f t="shared" si="42"/>
        <v>2023</v>
      </c>
      <c r="E551" s="4" t="str">
        <f t="shared" si="43"/>
        <v>Thu</v>
      </c>
      <c r="F551" s="4" t="str">
        <f t="shared" si="44"/>
        <v>Dec</v>
      </c>
      <c r="G551" s="3">
        <v>45267</v>
      </c>
      <c r="H551" s="4" t="s">
        <v>249</v>
      </c>
      <c r="I551" s="4" t="s">
        <v>4</v>
      </c>
      <c r="J551" s="4" t="str" cm="1">
        <f t="array" ref="J551">_xlfn.IFS(K551&gt;=50, "Senior", K551&gt;=30, "Adult", K551&lt;30,"Young Adult")</f>
        <v>Adult</v>
      </c>
      <c r="K551" s="4">
        <v>40</v>
      </c>
      <c r="L551" s="4" t="s">
        <v>7</v>
      </c>
      <c r="M551" s="4">
        <v>3</v>
      </c>
      <c r="N551" s="22">
        <v>300</v>
      </c>
      <c r="O551" s="24">
        <f>M551 * N551</f>
        <v>900</v>
      </c>
      <c r="P551" s="16">
        <f>O551 * $S$3</f>
        <v>13.5</v>
      </c>
      <c r="Q551" s="16">
        <f>O551 * $S$4</f>
        <v>18</v>
      </c>
    </row>
    <row r="552" spans="1:17">
      <c r="A552" s="2">
        <v>551</v>
      </c>
      <c r="B552" s="4">
        <f t="shared" si="40"/>
        <v>14</v>
      </c>
      <c r="C552" s="4">
        <f t="shared" si="41"/>
        <v>7</v>
      </c>
      <c r="D552" s="4">
        <f t="shared" si="42"/>
        <v>2023</v>
      </c>
      <c r="E552" s="4" t="str">
        <f t="shared" si="43"/>
        <v>Fri</v>
      </c>
      <c r="F552" s="4" t="str">
        <f t="shared" si="44"/>
        <v>Jul</v>
      </c>
      <c r="G552" s="3">
        <v>45121</v>
      </c>
      <c r="H552" s="4" t="s">
        <v>726</v>
      </c>
      <c r="I552" s="4" t="s">
        <v>4</v>
      </c>
      <c r="J552" s="4" t="str" cm="1">
        <f t="array" ref="J552">_xlfn.IFS(K552&gt;=50, "Senior", K552&gt;=30, "Adult", K552&lt;30,"Young Adult")</f>
        <v>Adult</v>
      </c>
      <c r="K552" s="4">
        <v>40</v>
      </c>
      <c r="L552" s="4" t="s">
        <v>8</v>
      </c>
      <c r="M552" s="4">
        <v>3</v>
      </c>
      <c r="N552" s="22">
        <v>300</v>
      </c>
      <c r="O552" s="24">
        <f>M552 * N552</f>
        <v>900</v>
      </c>
      <c r="P552" s="16">
        <f>O552 * $S$3</f>
        <v>13.5</v>
      </c>
      <c r="Q552" s="16">
        <f>O552 * $S$4</f>
        <v>18</v>
      </c>
    </row>
    <row r="553" spans="1:17">
      <c r="A553" s="2">
        <v>552</v>
      </c>
      <c r="B553" s="4">
        <f t="shared" si="40"/>
        <v>13</v>
      </c>
      <c r="C553" s="4">
        <f t="shared" si="41"/>
        <v>12</v>
      </c>
      <c r="D553" s="4">
        <f t="shared" si="42"/>
        <v>2023</v>
      </c>
      <c r="E553" s="4" t="str">
        <f t="shared" si="43"/>
        <v>Wed</v>
      </c>
      <c r="F553" s="4" t="str">
        <f t="shared" si="44"/>
        <v>Dec</v>
      </c>
      <c r="G553" s="3">
        <v>45273</v>
      </c>
      <c r="H553" s="4" t="s">
        <v>727</v>
      </c>
      <c r="I553" s="4" t="s">
        <v>3</v>
      </c>
      <c r="J553" s="4" t="str" cm="1">
        <f t="array" ref="J553">_xlfn.IFS(K553&gt;=50, "Senior", K553&gt;=30, "Adult", K553&lt;30,"Young Adult")</f>
        <v>Adult</v>
      </c>
      <c r="K553" s="4">
        <v>40</v>
      </c>
      <c r="L553" s="4" t="s">
        <v>8</v>
      </c>
      <c r="M553" s="4">
        <v>3</v>
      </c>
      <c r="N553" s="22">
        <v>25</v>
      </c>
      <c r="O553" s="24">
        <f>M553 * N553</f>
        <v>75</v>
      </c>
      <c r="P553" s="16">
        <f>O553 * $S$3</f>
        <v>1.125</v>
      </c>
      <c r="Q553" s="16">
        <f>O553 * $S$4</f>
        <v>1.5</v>
      </c>
    </row>
    <row r="554" spans="1:17">
      <c r="A554" s="2">
        <v>553</v>
      </c>
      <c r="B554" s="4">
        <f t="shared" si="40"/>
        <v>31</v>
      </c>
      <c r="C554" s="4">
        <f t="shared" si="41"/>
        <v>3</v>
      </c>
      <c r="D554" s="4">
        <f t="shared" si="42"/>
        <v>2023</v>
      </c>
      <c r="E554" s="4" t="str">
        <f t="shared" si="43"/>
        <v>Fri</v>
      </c>
      <c r="F554" s="4" t="str">
        <f t="shared" si="44"/>
        <v>Mar</v>
      </c>
      <c r="G554" s="3">
        <v>45016</v>
      </c>
      <c r="H554" s="4" t="s">
        <v>728</v>
      </c>
      <c r="I554" s="4" t="s">
        <v>4</v>
      </c>
      <c r="J554" s="4" t="str" cm="1">
        <f t="array" ref="J554">_xlfn.IFS(K554&gt;=50, "Senior", K554&gt;=30, "Adult", K554&lt;30,"Young Adult")</f>
        <v>Adult</v>
      </c>
      <c r="K554" s="4">
        <v>40</v>
      </c>
      <c r="L554" s="4" t="s">
        <v>7</v>
      </c>
      <c r="M554" s="4">
        <v>4</v>
      </c>
      <c r="N554" s="22">
        <v>300</v>
      </c>
      <c r="O554" s="24">
        <f>M554 * N554</f>
        <v>1200</v>
      </c>
      <c r="P554" s="16">
        <f>O554 * $S$3</f>
        <v>18</v>
      </c>
      <c r="Q554" s="16">
        <f>O554 * $S$4</f>
        <v>24</v>
      </c>
    </row>
    <row r="555" spans="1:17">
      <c r="A555" s="2">
        <v>554</v>
      </c>
      <c r="B555" s="4">
        <f t="shared" si="40"/>
        <v>12</v>
      </c>
      <c r="C555" s="4">
        <f t="shared" si="41"/>
        <v>11</v>
      </c>
      <c r="D555" s="4">
        <f t="shared" si="42"/>
        <v>2023</v>
      </c>
      <c r="E555" s="4" t="str">
        <f t="shared" si="43"/>
        <v>Sun</v>
      </c>
      <c r="F555" s="4" t="str">
        <f t="shared" si="44"/>
        <v>Nov</v>
      </c>
      <c r="G555" s="3">
        <v>45242</v>
      </c>
      <c r="H555" s="4" t="s">
        <v>117</v>
      </c>
      <c r="I555" s="4" t="s">
        <v>3</v>
      </c>
      <c r="J555" s="4" t="str" cm="1">
        <f t="array" ref="J555">_xlfn.IFS(K555&gt;=50, "Senior", K555&gt;=30, "Adult", K555&lt;30,"Young Adult")</f>
        <v>Adult</v>
      </c>
      <c r="K555" s="4">
        <v>40</v>
      </c>
      <c r="L555" s="4" t="s">
        <v>6</v>
      </c>
      <c r="M555" s="4">
        <v>3</v>
      </c>
      <c r="N555" s="22">
        <v>50</v>
      </c>
      <c r="O555" s="24">
        <f>M555 * N555</f>
        <v>150</v>
      </c>
      <c r="P555" s="16">
        <f>O555 * $S$3</f>
        <v>2.25</v>
      </c>
      <c r="Q555" s="16">
        <f>O555 * $S$4</f>
        <v>3</v>
      </c>
    </row>
    <row r="556" spans="1:17">
      <c r="A556" s="2">
        <v>555</v>
      </c>
      <c r="B556" s="4">
        <f t="shared" si="40"/>
        <v>19</v>
      </c>
      <c r="C556" s="4">
        <f t="shared" si="41"/>
        <v>10</v>
      </c>
      <c r="D556" s="4">
        <f t="shared" si="42"/>
        <v>2023</v>
      </c>
      <c r="E556" s="4" t="str">
        <f t="shared" si="43"/>
        <v>Thu</v>
      </c>
      <c r="F556" s="4" t="str">
        <f t="shared" si="44"/>
        <v>Oct</v>
      </c>
      <c r="G556" s="3">
        <v>45218</v>
      </c>
      <c r="H556" s="4" t="s">
        <v>729</v>
      </c>
      <c r="I556" s="4" t="s">
        <v>4</v>
      </c>
      <c r="J556" s="4" t="str" cm="1">
        <f t="array" ref="J556">_xlfn.IFS(K556&gt;=50, "Senior", K556&gt;=30, "Adult", K556&lt;30,"Young Adult")</f>
        <v>Adult</v>
      </c>
      <c r="K556" s="4">
        <v>40</v>
      </c>
      <c r="L556" s="4" t="s">
        <v>6</v>
      </c>
      <c r="M556" s="4">
        <v>1</v>
      </c>
      <c r="N556" s="22">
        <v>300</v>
      </c>
      <c r="O556" s="24">
        <f>M556 * N556</f>
        <v>300</v>
      </c>
      <c r="P556" s="16">
        <f>O556 * $S$3</f>
        <v>4.5</v>
      </c>
      <c r="Q556" s="16">
        <f>O556 * $S$4</f>
        <v>6</v>
      </c>
    </row>
    <row r="557" spans="1:17">
      <c r="A557" s="2">
        <v>556</v>
      </c>
      <c r="B557" s="4">
        <f t="shared" si="40"/>
        <v>4</v>
      </c>
      <c r="C557" s="4">
        <f t="shared" si="41"/>
        <v>6</v>
      </c>
      <c r="D557" s="4">
        <f t="shared" si="42"/>
        <v>2023</v>
      </c>
      <c r="E557" s="4" t="str">
        <f t="shared" si="43"/>
        <v>Sun</v>
      </c>
      <c r="F557" s="4" t="str">
        <f t="shared" si="44"/>
        <v>Jun</v>
      </c>
      <c r="G557" s="3">
        <v>45081</v>
      </c>
      <c r="H557" s="4" t="s">
        <v>730</v>
      </c>
      <c r="I557" s="4" t="s">
        <v>3</v>
      </c>
      <c r="J557" s="4" t="str" cm="1">
        <f t="array" ref="J557">_xlfn.IFS(K557&gt;=50, "Senior", K557&gt;=30, "Adult", K557&lt;30,"Young Adult")</f>
        <v>Adult</v>
      </c>
      <c r="K557" s="4">
        <v>40</v>
      </c>
      <c r="L557" s="4" t="s">
        <v>8</v>
      </c>
      <c r="M557" s="4">
        <v>1</v>
      </c>
      <c r="N557" s="22">
        <v>50</v>
      </c>
      <c r="O557" s="24">
        <f>M557 * N557</f>
        <v>50</v>
      </c>
      <c r="P557" s="16">
        <f>O557 * $S$3</f>
        <v>0.75</v>
      </c>
      <c r="Q557" s="16">
        <f>O557 * $S$4</f>
        <v>1</v>
      </c>
    </row>
    <row r="558" spans="1:17">
      <c r="A558" s="2">
        <v>557</v>
      </c>
      <c r="B558" s="4">
        <f t="shared" si="40"/>
        <v>27</v>
      </c>
      <c r="C558" s="4">
        <f t="shared" si="41"/>
        <v>7</v>
      </c>
      <c r="D558" s="4">
        <f t="shared" si="42"/>
        <v>2023</v>
      </c>
      <c r="E558" s="4" t="str">
        <f t="shared" si="43"/>
        <v>Thu</v>
      </c>
      <c r="F558" s="4" t="str">
        <f t="shared" si="44"/>
        <v>Jul</v>
      </c>
      <c r="G558" s="3">
        <v>45134</v>
      </c>
      <c r="H558" s="4" t="s">
        <v>731</v>
      </c>
      <c r="I558" s="4" t="s">
        <v>3</v>
      </c>
      <c r="J558" s="4" t="str" cm="1">
        <f t="array" ref="J558">_xlfn.IFS(K558&gt;=50, "Senior", K558&gt;=30, "Adult", K558&lt;30,"Young Adult")</f>
        <v>Adult</v>
      </c>
      <c r="K558" s="4">
        <v>40</v>
      </c>
      <c r="L558" s="4" t="s">
        <v>6</v>
      </c>
      <c r="M558" s="4">
        <v>3</v>
      </c>
      <c r="N558" s="22">
        <v>30</v>
      </c>
      <c r="O558" s="24">
        <f>M558 * N558</f>
        <v>90</v>
      </c>
      <c r="P558" s="16">
        <f>O558 * $S$3</f>
        <v>1.3499999999999999</v>
      </c>
      <c r="Q558" s="16">
        <f>O558 * $S$4</f>
        <v>1.8</v>
      </c>
    </row>
    <row r="559" spans="1:17">
      <c r="A559" s="2">
        <v>558</v>
      </c>
      <c r="B559" s="4">
        <f t="shared" si="40"/>
        <v>8</v>
      </c>
      <c r="C559" s="4">
        <f t="shared" si="41"/>
        <v>10</v>
      </c>
      <c r="D559" s="4">
        <f t="shared" si="42"/>
        <v>2023</v>
      </c>
      <c r="E559" s="4" t="str">
        <f t="shared" si="43"/>
        <v>Sun</v>
      </c>
      <c r="F559" s="4" t="str">
        <f t="shared" si="44"/>
        <v>Oct</v>
      </c>
      <c r="G559" s="3">
        <v>45207</v>
      </c>
      <c r="H559" s="4" t="s">
        <v>248</v>
      </c>
      <c r="I559" s="4" t="s">
        <v>3</v>
      </c>
      <c r="J559" s="4" t="str" cm="1">
        <f t="array" ref="J559">_xlfn.IFS(K559&gt;=50, "Senior", K559&gt;=30, "Adult", K559&lt;30,"Young Adult")</f>
        <v>Adult</v>
      </c>
      <c r="K559" s="4">
        <v>40</v>
      </c>
      <c r="L559" s="4" t="s">
        <v>7</v>
      </c>
      <c r="M559" s="4">
        <v>1</v>
      </c>
      <c r="N559" s="22">
        <v>25</v>
      </c>
      <c r="O559" s="24">
        <f>M559 * N559</f>
        <v>25</v>
      </c>
      <c r="P559" s="16">
        <f>O559 * $S$3</f>
        <v>0.375</v>
      </c>
      <c r="Q559" s="16">
        <f>O559 * $S$4</f>
        <v>0.5</v>
      </c>
    </row>
    <row r="560" spans="1:17">
      <c r="A560" s="2">
        <v>559</v>
      </c>
      <c r="B560" s="4">
        <f t="shared" si="40"/>
        <v>1</v>
      </c>
      <c r="C560" s="4">
        <f t="shared" si="41"/>
        <v>1</v>
      </c>
      <c r="D560" s="4">
        <f t="shared" si="42"/>
        <v>2023</v>
      </c>
      <c r="E560" s="4" t="str">
        <f t="shared" si="43"/>
        <v>Sun</v>
      </c>
      <c r="F560" s="4" t="str">
        <f t="shared" si="44"/>
        <v>Jan</v>
      </c>
      <c r="G560" s="3">
        <v>44927</v>
      </c>
      <c r="H560" s="4" t="s">
        <v>247</v>
      </c>
      <c r="I560" s="4" t="s">
        <v>3</v>
      </c>
      <c r="J560" s="4" t="str" cm="1">
        <f t="array" ref="J560">_xlfn.IFS(K560&gt;=50, "Senior", K560&gt;=30, "Adult", K560&lt;30,"Young Adult")</f>
        <v>Adult</v>
      </c>
      <c r="K560" s="4">
        <v>39</v>
      </c>
      <c r="L560" s="4" t="s">
        <v>7</v>
      </c>
      <c r="M560" s="4">
        <v>4</v>
      </c>
      <c r="N560" s="22">
        <v>300</v>
      </c>
      <c r="O560" s="24">
        <f>M560 * N560</f>
        <v>1200</v>
      </c>
      <c r="P560" s="16">
        <f>O560 * $S$3</f>
        <v>18</v>
      </c>
      <c r="Q560" s="16">
        <f>O560 * $S$4</f>
        <v>24</v>
      </c>
    </row>
    <row r="561" spans="1:17">
      <c r="A561" s="2">
        <v>560</v>
      </c>
      <c r="B561" s="4">
        <f t="shared" si="40"/>
        <v>5</v>
      </c>
      <c r="C561" s="4">
        <f t="shared" si="41"/>
        <v>6</v>
      </c>
      <c r="D561" s="4">
        <f t="shared" si="42"/>
        <v>2023</v>
      </c>
      <c r="E561" s="4" t="str">
        <f t="shared" si="43"/>
        <v>Mon</v>
      </c>
      <c r="F561" s="4" t="str">
        <f t="shared" si="44"/>
        <v>Jun</v>
      </c>
      <c r="G561" s="3">
        <v>45082</v>
      </c>
      <c r="H561" s="4" t="s">
        <v>732</v>
      </c>
      <c r="I561" s="4" t="s">
        <v>3</v>
      </c>
      <c r="J561" s="4" t="str" cm="1">
        <f t="array" ref="J561">_xlfn.IFS(K561&gt;=50, "Senior", K561&gt;=30, "Adult", K561&lt;30,"Young Adult")</f>
        <v>Adult</v>
      </c>
      <c r="K561" s="4">
        <v>39</v>
      </c>
      <c r="L561" s="4" t="s">
        <v>8</v>
      </c>
      <c r="M561" s="4">
        <v>1</v>
      </c>
      <c r="N561" s="22">
        <v>50</v>
      </c>
      <c r="O561" s="24">
        <f>M561 * N561</f>
        <v>50</v>
      </c>
      <c r="P561" s="16">
        <f>O561 * $S$3</f>
        <v>0.75</v>
      </c>
      <c r="Q561" s="16">
        <f>O561 * $S$4</f>
        <v>1</v>
      </c>
    </row>
    <row r="562" spans="1:17">
      <c r="A562" s="2">
        <v>561</v>
      </c>
      <c r="B562" s="4">
        <f t="shared" si="40"/>
        <v>27</v>
      </c>
      <c r="C562" s="4">
        <f t="shared" si="41"/>
        <v>5</v>
      </c>
      <c r="D562" s="4">
        <f t="shared" si="42"/>
        <v>2023</v>
      </c>
      <c r="E562" s="4" t="str">
        <f t="shared" si="43"/>
        <v>Sat</v>
      </c>
      <c r="F562" s="4" t="str">
        <f t="shared" si="44"/>
        <v>May</v>
      </c>
      <c r="G562" s="3">
        <v>45073</v>
      </c>
      <c r="H562" s="4" t="s">
        <v>733</v>
      </c>
      <c r="I562" s="4" t="s">
        <v>3</v>
      </c>
      <c r="J562" s="4" t="str" cm="1">
        <f t="array" ref="J562">_xlfn.IFS(K562&gt;=50, "Senior", K562&gt;=30, "Adult", K562&lt;30,"Young Adult")</f>
        <v>Adult</v>
      </c>
      <c r="K562" s="4">
        <v>39</v>
      </c>
      <c r="L562" s="4" t="s">
        <v>7</v>
      </c>
      <c r="M562" s="4">
        <v>4</v>
      </c>
      <c r="N562" s="22">
        <v>500</v>
      </c>
      <c r="O562" s="24">
        <f>M562 * N562</f>
        <v>2000</v>
      </c>
      <c r="P562" s="16">
        <f>O562 * $S$3</f>
        <v>30</v>
      </c>
      <c r="Q562" s="16">
        <f>O562 * $S$4</f>
        <v>40</v>
      </c>
    </row>
    <row r="563" spans="1:17">
      <c r="A563" s="2">
        <v>562</v>
      </c>
      <c r="B563" s="4">
        <f t="shared" si="40"/>
        <v>18</v>
      </c>
      <c r="C563" s="4">
        <f t="shared" si="41"/>
        <v>4</v>
      </c>
      <c r="D563" s="4">
        <f t="shared" si="42"/>
        <v>2023</v>
      </c>
      <c r="E563" s="4" t="str">
        <f t="shared" si="43"/>
        <v>Tue</v>
      </c>
      <c r="F563" s="4" t="str">
        <f t="shared" si="44"/>
        <v>Apr</v>
      </c>
      <c r="G563" s="3">
        <v>45034</v>
      </c>
      <c r="H563" s="4" t="s">
        <v>734</v>
      </c>
      <c r="I563" s="4" t="s">
        <v>4</v>
      </c>
      <c r="J563" s="4" t="str" cm="1">
        <f t="array" ref="J563">_xlfn.IFS(K563&gt;=50, "Senior", K563&gt;=30, "Adult", K563&lt;30,"Young Adult")</f>
        <v>Adult</v>
      </c>
      <c r="K563" s="4">
        <v>39</v>
      </c>
      <c r="L563" s="4" t="s">
        <v>8</v>
      </c>
      <c r="M563" s="4">
        <v>2</v>
      </c>
      <c r="N563" s="22">
        <v>25</v>
      </c>
      <c r="O563" s="24">
        <f>M563 * N563</f>
        <v>50</v>
      </c>
      <c r="P563" s="16">
        <f>O563 * $S$3</f>
        <v>0.75</v>
      </c>
      <c r="Q563" s="16">
        <f>O563 * $S$4</f>
        <v>1</v>
      </c>
    </row>
    <row r="564" spans="1:17">
      <c r="A564" s="2">
        <v>563</v>
      </c>
      <c r="B564" s="4">
        <f t="shared" si="40"/>
        <v>9</v>
      </c>
      <c r="C564" s="4">
        <f t="shared" si="41"/>
        <v>8</v>
      </c>
      <c r="D564" s="4">
        <f t="shared" si="42"/>
        <v>2023</v>
      </c>
      <c r="E564" s="4" t="str">
        <f t="shared" si="43"/>
        <v>Wed</v>
      </c>
      <c r="F564" s="4" t="str">
        <f t="shared" si="44"/>
        <v>Aug</v>
      </c>
      <c r="G564" s="3">
        <v>45147</v>
      </c>
      <c r="H564" s="4" t="s">
        <v>735</v>
      </c>
      <c r="I564" s="4" t="s">
        <v>4</v>
      </c>
      <c r="J564" s="4" t="str" cm="1">
        <f t="array" ref="J564">_xlfn.IFS(K564&gt;=50, "Senior", K564&gt;=30, "Adult", K564&lt;30,"Young Adult")</f>
        <v>Adult</v>
      </c>
      <c r="K564" s="4">
        <v>39</v>
      </c>
      <c r="L564" s="4" t="s">
        <v>7</v>
      </c>
      <c r="M564" s="4">
        <v>2</v>
      </c>
      <c r="N564" s="22">
        <v>30</v>
      </c>
      <c r="O564" s="24">
        <f>M564 * N564</f>
        <v>60</v>
      </c>
      <c r="P564" s="16">
        <f>O564 * $S$3</f>
        <v>0.89999999999999991</v>
      </c>
      <c r="Q564" s="16">
        <f>O564 * $S$4</f>
        <v>1.2</v>
      </c>
    </row>
    <row r="565" spans="1:17">
      <c r="A565" s="2">
        <v>564</v>
      </c>
      <c r="B565" s="4">
        <f t="shared" si="40"/>
        <v>24</v>
      </c>
      <c r="C565" s="4">
        <f t="shared" si="41"/>
        <v>10</v>
      </c>
      <c r="D565" s="4">
        <f t="shared" si="42"/>
        <v>2023</v>
      </c>
      <c r="E565" s="4" t="str">
        <f t="shared" si="43"/>
        <v>Tue</v>
      </c>
      <c r="F565" s="4" t="str">
        <f t="shared" si="44"/>
        <v>Oct</v>
      </c>
      <c r="G565" s="3">
        <v>45223</v>
      </c>
      <c r="H565" s="4" t="s">
        <v>736</v>
      </c>
      <c r="I565" s="4" t="s">
        <v>4</v>
      </c>
      <c r="J565" s="4" t="str" cm="1">
        <f t="array" ref="J565">_xlfn.IFS(K565&gt;=50, "Senior", K565&gt;=30, "Adult", K565&lt;30,"Young Adult")</f>
        <v>Adult</v>
      </c>
      <c r="K565" s="4">
        <v>39</v>
      </c>
      <c r="L565" s="4" t="s">
        <v>8</v>
      </c>
      <c r="M565" s="4">
        <v>2</v>
      </c>
      <c r="N565" s="22">
        <v>50</v>
      </c>
      <c r="O565" s="24">
        <f>M565 * N565</f>
        <v>100</v>
      </c>
      <c r="P565" s="16">
        <f>O565 * $S$3</f>
        <v>1.5</v>
      </c>
      <c r="Q565" s="16">
        <f>O565 * $S$4</f>
        <v>2</v>
      </c>
    </row>
    <row r="566" spans="1:17">
      <c r="A566" s="2">
        <v>565</v>
      </c>
      <c r="B566" s="4">
        <f t="shared" si="40"/>
        <v>7</v>
      </c>
      <c r="C566" s="4">
        <f t="shared" si="41"/>
        <v>11</v>
      </c>
      <c r="D566" s="4">
        <f t="shared" si="42"/>
        <v>2023</v>
      </c>
      <c r="E566" s="4" t="str">
        <f t="shared" si="43"/>
        <v>Tue</v>
      </c>
      <c r="F566" s="4" t="str">
        <f t="shared" si="44"/>
        <v>Nov</v>
      </c>
      <c r="G566" s="3">
        <v>45237</v>
      </c>
      <c r="H566" s="4" t="s">
        <v>116</v>
      </c>
      <c r="I566" s="4" t="s">
        <v>3</v>
      </c>
      <c r="J566" s="4" t="str" cm="1">
        <f t="array" ref="J566">_xlfn.IFS(K566&gt;=50, "Senior", K566&gt;=30, "Adult", K566&lt;30,"Young Adult")</f>
        <v>Adult</v>
      </c>
      <c r="K566" s="4">
        <v>39</v>
      </c>
      <c r="L566" s="4" t="s">
        <v>6</v>
      </c>
      <c r="M566" s="4">
        <v>2</v>
      </c>
      <c r="N566" s="22">
        <v>30</v>
      </c>
      <c r="O566" s="24">
        <f>M566 * N566</f>
        <v>60</v>
      </c>
      <c r="P566" s="16">
        <f>O566 * $S$3</f>
        <v>0.89999999999999991</v>
      </c>
      <c r="Q566" s="16">
        <f>O566 * $S$4</f>
        <v>1.2</v>
      </c>
    </row>
    <row r="567" spans="1:17">
      <c r="A567" s="2">
        <v>566</v>
      </c>
      <c r="B567" s="4">
        <f t="shared" si="40"/>
        <v>2</v>
      </c>
      <c r="C567" s="4">
        <f t="shared" si="41"/>
        <v>12</v>
      </c>
      <c r="D567" s="4">
        <f t="shared" si="42"/>
        <v>2023</v>
      </c>
      <c r="E567" s="4" t="str">
        <f t="shared" si="43"/>
        <v>Sat</v>
      </c>
      <c r="F567" s="4" t="str">
        <f t="shared" si="44"/>
        <v>Dec</v>
      </c>
      <c r="G567" s="3">
        <v>45262</v>
      </c>
      <c r="H567" s="4" t="s">
        <v>737</v>
      </c>
      <c r="I567" s="4" t="s">
        <v>3</v>
      </c>
      <c r="J567" s="4" t="str" cm="1">
        <f t="array" ref="J567">_xlfn.IFS(K567&gt;=50, "Senior", K567&gt;=30, "Adult", K567&lt;30,"Young Adult")</f>
        <v>Adult</v>
      </c>
      <c r="K567" s="4">
        <v>39</v>
      </c>
      <c r="L567" s="4" t="s">
        <v>7</v>
      </c>
      <c r="M567" s="4">
        <v>1</v>
      </c>
      <c r="N567" s="22">
        <v>30</v>
      </c>
      <c r="O567" s="24">
        <f>M567 * N567</f>
        <v>30</v>
      </c>
      <c r="P567" s="16">
        <f>O567 * $S$3</f>
        <v>0.44999999999999996</v>
      </c>
      <c r="Q567" s="16">
        <f>O567 * $S$4</f>
        <v>0.6</v>
      </c>
    </row>
    <row r="568" spans="1:17">
      <c r="A568" s="2">
        <v>567</v>
      </c>
      <c r="B568" s="4">
        <f t="shared" si="40"/>
        <v>14</v>
      </c>
      <c r="C568" s="4">
        <f t="shared" si="41"/>
        <v>6</v>
      </c>
      <c r="D568" s="4">
        <f t="shared" si="42"/>
        <v>2023</v>
      </c>
      <c r="E568" s="4" t="str">
        <f t="shared" si="43"/>
        <v>Wed</v>
      </c>
      <c r="F568" s="4" t="str">
        <f t="shared" si="44"/>
        <v>Jun</v>
      </c>
      <c r="G568" s="3">
        <v>45091</v>
      </c>
      <c r="H568" s="4" t="s">
        <v>738</v>
      </c>
      <c r="I568" s="4" t="s">
        <v>3</v>
      </c>
      <c r="J568" s="4" t="str" cm="1">
        <f t="array" ref="J568">_xlfn.IFS(K568&gt;=50, "Senior", K568&gt;=30, "Adult", K568&lt;30,"Young Adult")</f>
        <v>Adult</v>
      </c>
      <c r="K568" s="4">
        <v>39</v>
      </c>
      <c r="L568" s="4" t="s">
        <v>7</v>
      </c>
      <c r="M568" s="4">
        <v>3</v>
      </c>
      <c r="N568" s="22">
        <v>300</v>
      </c>
      <c r="O568" s="24">
        <f>M568 * N568</f>
        <v>900</v>
      </c>
      <c r="P568" s="16">
        <f>O568 * $S$3</f>
        <v>13.5</v>
      </c>
      <c r="Q568" s="16">
        <f>O568 * $S$4</f>
        <v>18</v>
      </c>
    </row>
    <row r="569" spans="1:17">
      <c r="A569" s="2">
        <v>568</v>
      </c>
      <c r="B569" s="4">
        <f t="shared" si="40"/>
        <v>27</v>
      </c>
      <c r="C569" s="4">
        <f t="shared" si="41"/>
        <v>8</v>
      </c>
      <c r="D569" s="4">
        <f t="shared" si="42"/>
        <v>2023</v>
      </c>
      <c r="E569" s="4" t="str">
        <f t="shared" si="43"/>
        <v>Sun</v>
      </c>
      <c r="F569" s="4" t="str">
        <f t="shared" si="44"/>
        <v>Aug</v>
      </c>
      <c r="G569" s="3">
        <v>45165</v>
      </c>
      <c r="H569" s="4" t="s">
        <v>739</v>
      </c>
      <c r="I569" s="4" t="s">
        <v>3</v>
      </c>
      <c r="J569" s="4" t="str" cm="1">
        <f t="array" ref="J569">_xlfn.IFS(K569&gt;=50, "Senior", K569&gt;=30, "Adult", K569&lt;30,"Young Adult")</f>
        <v>Adult</v>
      </c>
      <c r="K569" s="4">
        <v>39</v>
      </c>
      <c r="L569" s="4" t="s">
        <v>8</v>
      </c>
      <c r="M569" s="4">
        <v>1</v>
      </c>
      <c r="N569" s="22">
        <v>300</v>
      </c>
      <c r="O569" s="24">
        <f>M569 * N569</f>
        <v>300</v>
      </c>
      <c r="P569" s="16">
        <f>O569 * $S$3</f>
        <v>4.5</v>
      </c>
      <c r="Q569" s="16">
        <f>O569 * $S$4</f>
        <v>6</v>
      </c>
    </row>
    <row r="570" spans="1:17">
      <c r="A570" s="2">
        <v>569</v>
      </c>
      <c r="B570" s="4">
        <f t="shared" si="40"/>
        <v>15</v>
      </c>
      <c r="C570" s="4">
        <f t="shared" si="41"/>
        <v>8</v>
      </c>
      <c r="D570" s="4">
        <f t="shared" si="42"/>
        <v>2023</v>
      </c>
      <c r="E570" s="4" t="str">
        <f t="shared" si="43"/>
        <v>Tue</v>
      </c>
      <c r="F570" s="4" t="str">
        <f t="shared" si="44"/>
        <v>Aug</v>
      </c>
      <c r="G570" s="3">
        <v>45153</v>
      </c>
      <c r="H570" s="4" t="s">
        <v>740</v>
      </c>
      <c r="I570" s="4" t="s">
        <v>4</v>
      </c>
      <c r="J570" s="4" t="str" cm="1">
        <f t="array" ref="J570">_xlfn.IFS(K570&gt;=50, "Senior", K570&gt;=30, "Adult", K570&lt;30,"Young Adult")</f>
        <v>Adult</v>
      </c>
      <c r="K570" s="4">
        <v>39</v>
      </c>
      <c r="L570" s="4" t="s">
        <v>8</v>
      </c>
      <c r="M570" s="4">
        <v>4</v>
      </c>
      <c r="N570" s="22">
        <v>50</v>
      </c>
      <c r="O570" s="24">
        <f>M570 * N570</f>
        <v>200</v>
      </c>
      <c r="P570" s="16">
        <f>O570 * $S$3</f>
        <v>3</v>
      </c>
      <c r="Q570" s="16">
        <f>O570 * $S$4</f>
        <v>4</v>
      </c>
    </row>
    <row r="571" spans="1:17">
      <c r="A571" s="2">
        <v>570</v>
      </c>
      <c r="B571" s="4">
        <f t="shared" si="40"/>
        <v>15</v>
      </c>
      <c r="C571" s="4">
        <f t="shared" si="41"/>
        <v>8</v>
      </c>
      <c r="D571" s="4">
        <f t="shared" si="42"/>
        <v>2023</v>
      </c>
      <c r="E571" s="4" t="str">
        <f t="shared" si="43"/>
        <v>Tue</v>
      </c>
      <c r="F571" s="4" t="str">
        <f t="shared" si="44"/>
        <v>Aug</v>
      </c>
      <c r="G571" s="3">
        <v>45153</v>
      </c>
      <c r="H571" s="4" t="s">
        <v>246</v>
      </c>
      <c r="I571" s="4" t="s">
        <v>4</v>
      </c>
      <c r="J571" s="4" t="str" cm="1">
        <f t="array" ref="J571">_xlfn.IFS(K571&gt;=50, "Senior", K571&gt;=30, "Adult", K571&lt;30,"Young Adult")</f>
        <v>Adult</v>
      </c>
      <c r="K571" s="4">
        <v>39</v>
      </c>
      <c r="L571" s="4" t="s">
        <v>7</v>
      </c>
      <c r="M571" s="4">
        <v>1</v>
      </c>
      <c r="N571" s="22">
        <v>500</v>
      </c>
      <c r="O571" s="24">
        <f>M571 * N571</f>
        <v>500</v>
      </c>
      <c r="P571" s="16">
        <f>O571 * $S$3</f>
        <v>7.5</v>
      </c>
      <c r="Q571" s="16">
        <f>O571 * $S$4</f>
        <v>10</v>
      </c>
    </row>
    <row r="572" spans="1:17">
      <c r="A572" s="2">
        <v>571</v>
      </c>
      <c r="B572" s="4">
        <f t="shared" si="40"/>
        <v>12</v>
      </c>
      <c r="C572" s="4">
        <f t="shared" si="41"/>
        <v>12</v>
      </c>
      <c r="D572" s="4">
        <f t="shared" si="42"/>
        <v>2023</v>
      </c>
      <c r="E572" s="4" t="str">
        <f t="shared" si="43"/>
        <v>Tue</v>
      </c>
      <c r="F572" s="4" t="str">
        <f t="shared" si="44"/>
        <v>Dec</v>
      </c>
      <c r="G572" s="3">
        <v>45272</v>
      </c>
      <c r="H572" s="4" t="s">
        <v>741</v>
      </c>
      <c r="I572" s="4" t="s">
        <v>3</v>
      </c>
      <c r="J572" s="4" t="str" cm="1">
        <f t="array" ref="J572">_xlfn.IFS(K572&gt;=50, "Senior", K572&gt;=30, "Adult", K572&lt;30,"Young Adult")</f>
        <v>Adult</v>
      </c>
      <c r="K572" s="4">
        <v>39</v>
      </c>
      <c r="L572" s="4" t="s">
        <v>8</v>
      </c>
      <c r="M572" s="4">
        <v>1</v>
      </c>
      <c r="N572" s="22">
        <v>50</v>
      </c>
      <c r="O572" s="24">
        <f>M572 * N572</f>
        <v>50</v>
      </c>
      <c r="P572" s="16">
        <f>O572 * $S$3</f>
        <v>0.75</v>
      </c>
      <c r="Q572" s="16">
        <f>O572 * $S$4</f>
        <v>1</v>
      </c>
    </row>
    <row r="573" spans="1:17">
      <c r="A573" s="2">
        <v>572</v>
      </c>
      <c r="B573" s="4">
        <f t="shared" si="40"/>
        <v>20</v>
      </c>
      <c r="C573" s="4">
        <f t="shared" si="41"/>
        <v>4</v>
      </c>
      <c r="D573" s="4">
        <f t="shared" si="42"/>
        <v>2023</v>
      </c>
      <c r="E573" s="4" t="str">
        <f t="shared" si="43"/>
        <v>Thu</v>
      </c>
      <c r="F573" s="4" t="str">
        <f t="shared" si="44"/>
        <v>Apr</v>
      </c>
      <c r="G573" s="3">
        <v>45036</v>
      </c>
      <c r="H573" s="4" t="s">
        <v>245</v>
      </c>
      <c r="I573" s="4" t="s">
        <v>4</v>
      </c>
      <c r="J573" s="4" t="str" cm="1">
        <f t="array" ref="J573">_xlfn.IFS(K573&gt;=50, "Senior", K573&gt;=30, "Adult", K573&lt;30,"Young Adult")</f>
        <v>Adult</v>
      </c>
      <c r="K573" s="4">
        <v>39</v>
      </c>
      <c r="L573" s="4" t="s">
        <v>7</v>
      </c>
      <c r="M573" s="4">
        <v>4</v>
      </c>
      <c r="N573" s="22">
        <v>500</v>
      </c>
      <c r="O573" s="24">
        <f>M573 * N573</f>
        <v>2000</v>
      </c>
      <c r="P573" s="16">
        <f>O573 * $S$3</f>
        <v>30</v>
      </c>
      <c r="Q573" s="16">
        <f>O573 * $S$4</f>
        <v>40</v>
      </c>
    </row>
    <row r="574" spans="1:17">
      <c r="A574" s="2">
        <v>573</v>
      </c>
      <c r="B574" s="4">
        <f t="shared" si="40"/>
        <v>19</v>
      </c>
      <c r="C574" s="4">
        <f t="shared" si="41"/>
        <v>9</v>
      </c>
      <c r="D574" s="4">
        <f t="shared" si="42"/>
        <v>2023</v>
      </c>
      <c r="E574" s="4" t="str">
        <f t="shared" si="43"/>
        <v>Tue</v>
      </c>
      <c r="F574" s="4" t="str">
        <f t="shared" si="44"/>
        <v>Sep</v>
      </c>
      <c r="G574" s="3">
        <v>45188</v>
      </c>
      <c r="H574" s="4" t="s">
        <v>115</v>
      </c>
      <c r="I574" s="4" t="s">
        <v>4</v>
      </c>
      <c r="J574" s="4" t="str" cm="1">
        <f t="array" ref="J574">_xlfn.IFS(K574&gt;=50, "Senior", K574&gt;=30, "Adult", K574&lt;30,"Young Adult")</f>
        <v>Adult</v>
      </c>
      <c r="K574" s="4">
        <v>39</v>
      </c>
      <c r="L574" s="4" t="s">
        <v>6</v>
      </c>
      <c r="M574" s="4">
        <v>2</v>
      </c>
      <c r="N574" s="22">
        <v>30</v>
      </c>
      <c r="O574" s="24">
        <f>M574 * N574</f>
        <v>60</v>
      </c>
      <c r="P574" s="16">
        <f>O574 * $S$3</f>
        <v>0.89999999999999991</v>
      </c>
      <c r="Q574" s="16">
        <f>O574 * $S$4</f>
        <v>1.2</v>
      </c>
    </row>
    <row r="575" spans="1:17">
      <c r="A575" s="2">
        <v>574</v>
      </c>
      <c r="B575" s="4">
        <f t="shared" si="40"/>
        <v>31</v>
      </c>
      <c r="C575" s="4">
        <f t="shared" si="41"/>
        <v>8</v>
      </c>
      <c r="D575" s="4">
        <f t="shared" si="42"/>
        <v>2023</v>
      </c>
      <c r="E575" s="4" t="str">
        <f t="shared" si="43"/>
        <v>Thu</v>
      </c>
      <c r="F575" s="4" t="str">
        <f t="shared" si="44"/>
        <v>Aug</v>
      </c>
      <c r="G575" s="3">
        <v>45169</v>
      </c>
      <c r="H575" s="4" t="s">
        <v>742</v>
      </c>
      <c r="I575" s="4" t="s">
        <v>3</v>
      </c>
      <c r="J575" s="4" t="str" cm="1">
        <f t="array" ref="J575">_xlfn.IFS(K575&gt;=50, "Senior", K575&gt;=30, "Adult", K575&lt;30,"Young Adult")</f>
        <v>Adult</v>
      </c>
      <c r="K575" s="4">
        <v>39</v>
      </c>
      <c r="L575" s="4" t="s">
        <v>8</v>
      </c>
      <c r="M575" s="4">
        <v>2</v>
      </c>
      <c r="N575" s="22">
        <v>25</v>
      </c>
      <c r="O575" s="24">
        <f>M575 * N575</f>
        <v>50</v>
      </c>
      <c r="P575" s="16">
        <f>O575 * $S$3</f>
        <v>0.75</v>
      </c>
      <c r="Q575" s="16">
        <f>O575 * $S$4</f>
        <v>1</v>
      </c>
    </row>
    <row r="576" spans="1:17">
      <c r="A576" s="2">
        <v>575</v>
      </c>
      <c r="B576" s="4">
        <f t="shared" si="40"/>
        <v>28</v>
      </c>
      <c r="C576" s="4">
        <f t="shared" si="41"/>
        <v>3</v>
      </c>
      <c r="D576" s="4">
        <f t="shared" si="42"/>
        <v>2023</v>
      </c>
      <c r="E576" s="4" t="str">
        <f t="shared" si="43"/>
        <v>Tue</v>
      </c>
      <c r="F576" s="4" t="str">
        <f t="shared" si="44"/>
        <v>Mar</v>
      </c>
      <c r="G576" s="3">
        <v>45013</v>
      </c>
      <c r="H576" s="4" t="s">
        <v>743</v>
      </c>
      <c r="I576" s="4" t="s">
        <v>4</v>
      </c>
      <c r="J576" s="4" t="str" cm="1">
        <f t="array" ref="J576">_xlfn.IFS(K576&gt;=50, "Senior", K576&gt;=30, "Adult", K576&lt;30,"Young Adult")</f>
        <v>Adult</v>
      </c>
      <c r="K576" s="4">
        <v>39</v>
      </c>
      <c r="L576" s="4" t="s">
        <v>7</v>
      </c>
      <c r="M576" s="4">
        <v>2</v>
      </c>
      <c r="N576" s="22">
        <v>50</v>
      </c>
      <c r="O576" s="24">
        <f>M576 * N576</f>
        <v>100</v>
      </c>
      <c r="P576" s="16">
        <f>O576 * $S$3</f>
        <v>1.5</v>
      </c>
      <c r="Q576" s="16">
        <f>O576 * $S$4</f>
        <v>2</v>
      </c>
    </row>
    <row r="577" spans="1:17">
      <c r="A577" s="2">
        <v>576</v>
      </c>
      <c r="B577" s="4">
        <f t="shared" si="40"/>
        <v>4</v>
      </c>
      <c r="C577" s="4">
        <f t="shared" si="41"/>
        <v>12</v>
      </c>
      <c r="D577" s="4">
        <f t="shared" si="42"/>
        <v>2023</v>
      </c>
      <c r="E577" s="4" t="str">
        <f t="shared" si="43"/>
        <v>Mon</v>
      </c>
      <c r="F577" s="4" t="str">
        <f t="shared" si="44"/>
        <v>Dec</v>
      </c>
      <c r="G577" s="3">
        <v>45264</v>
      </c>
      <c r="H577" s="4" t="s">
        <v>114</v>
      </c>
      <c r="I577" s="4" t="s">
        <v>3</v>
      </c>
      <c r="J577" s="4" t="str" cm="1">
        <f t="array" ref="J577">_xlfn.IFS(K577&gt;=50, "Senior", K577&gt;=30, "Adult", K577&lt;30,"Young Adult")</f>
        <v>Adult</v>
      </c>
      <c r="K577" s="4">
        <v>39</v>
      </c>
      <c r="L577" s="4" t="s">
        <v>6</v>
      </c>
      <c r="M577" s="4">
        <v>3</v>
      </c>
      <c r="N577" s="22">
        <v>50</v>
      </c>
      <c r="O577" s="24">
        <f>M577 * N577</f>
        <v>150</v>
      </c>
      <c r="P577" s="16">
        <f>O577 * $S$3</f>
        <v>2.25</v>
      </c>
      <c r="Q577" s="16">
        <f>O577 * $S$4</f>
        <v>3</v>
      </c>
    </row>
    <row r="578" spans="1:17">
      <c r="A578" s="2">
        <v>577</v>
      </c>
      <c r="B578" s="4">
        <f t="shared" si="40"/>
        <v>13</v>
      </c>
      <c r="C578" s="4">
        <f t="shared" si="41"/>
        <v>2</v>
      </c>
      <c r="D578" s="4">
        <f t="shared" si="42"/>
        <v>2023</v>
      </c>
      <c r="E578" s="4" t="str">
        <f t="shared" si="43"/>
        <v>Mon</v>
      </c>
      <c r="F578" s="4" t="str">
        <f t="shared" si="44"/>
        <v>Feb</v>
      </c>
      <c r="G578" s="3">
        <v>44970</v>
      </c>
      <c r="H578" s="4" t="s">
        <v>744</v>
      </c>
      <c r="I578" s="4" t="s">
        <v>4</v>
      </c>
      <c r="J578" s="4" t="str" cm="1">
        <f t="array" ref="J578">_xlfn.IFS(K578&gt;=50, "Senior", K578&gt;=30, "Adult", K578&lt;30,"Young Adult")</f>
        <v>Adult</v>
      </c>
      <c r="K578" s="4">
        <v>38</v>
      </c>
      <c r="L578" s="4" t="s">
        <v>6</v>
      </c>
      <c r="M578" s="4">
        <v>4</v>
      </c>
      <c r="N578" s="22">
        <v>500</v>
      </c>
      <c r="O578" s="24">
        <f>M578 * N578</f>
        <v>2000</v>
      </c>
      <c r="P578" s="16">
        <f>O578 * $S$3</f>
        <v>30</v>
      </c>
      <c r="Q578" s="16">
        <f>O578 * $S$4</f>
        <v>40</v>
      </c>
    </row>
    <row r="579" spans="1:17">
      <c r="A579" s="2">
        <v>578</v>
      </c>
      <c r="B579" s="4">
        <f t="shared" ref="B579:B642" si="45">DAY(G579)</f>
        <v>26</v>
      </c>
      <c r="C579" s="4">
        <f t="shared" ref="C579:C642" si="46">MONTH(G579)</f>
        <v>5</v>
      </c>
      <c r="D579" s="4">
        <f t="shared" ref="D579:D642" si="47">YEAR(G579)</f>
        <v>2023</v>
      </c>
      <c r="E579" s="4" t="str">
        <f t="shared" ref="E579:E642" si="48">TEXT(G579,"DDD")</f>
        <v>Fri</v>
      </c>
      <c r="F579" s="4" t="str">
        <f t="shared" ref="F579:F642" si="49">TEXT(G579,"MMM")</f>
        <v>May</v>
      </c>
      <c r="G579" s="3">
        <v>45072</v>
      </c>
      <c r="H579" s="4" t="s">
        <v>745</v>
      </c>
      <c r="I579" s="4" t="s">
        <v>3</v>
      </c>
      <c r="J579" s="4" t="str" cm="1">
        <f t="array" ref="J579">_xlfn.IFS(K579&gt;=50, "Senior", K579&gt;=30, "Adult", K579&lt;30,"Young Adult")</f>
        <v>Adult</v>
      </c>
      <c r="K579" s="4">
        <v>38</v>
      </c>
      <c r="L579" s="4" t="s">
        <v>7</v>
      </c>
      <c r="M579" s="4">
        <v>4</v>
      </c>
      <c r="N579" s="22">
        <v>30</v>
      </c>
      <c r="O579" s="24">
        <f>M579 * N579</f>
        <v>120</v>
      </c>
      <c r="P579" s="16">
        <f>O579 * $S$3</f>
        <v>1.7999999999999998</v>
      </c>
      <c r="Q579" s="16">
        <f>O579 * $S$4</f>
        <v>2.4</v>
      </c>
    </row>
    <row r="580" spans="1:17">
      <c r="A580" s="2">
        <v>579</v>
      </c>
      <c r="B580" s="4">
        <f t="shared" si="45"/>
        <v>21</v>
      </c>
      <c r="C580" s="4">
        <f t="shared" si="46"/>
        <v>9</v>
      </c>
      <c r="D580" s="4">
        <f t="shared" si="47"/>
        <v>2023</v>
      </c>
      <c r="E580" s="4" t="str">
        <f t="shared" si="48"/>
        <v>Thu</v>
      </c>
      <c r="F580" s="4" t="str">
        <f t="shared" si="49"/>
        <v>Sep</v>
      </c>
      <c r="G580" s="3">
        <v>45190</v>
      </c>
      <c r="H580" s="4" t="s">
        <v>746</v>
      </c>
      <c r="I580" s="4" t="s">
        <v>3</v>
      </c>
      <c r="J580" s="4" t="str" cm="1">
        <f t="array" ref="J580">_xlfn.IFS(K580&gt;=50, "Senior", K580&gt;=30, "Adult", K580&lt;30,"Young Adult")</f>
        <v>Adult</v>
      </c>
      <c r="K580" s="4">
        <v>38</v>
      </c>
      <c r="L580" s="4" t="s">
        <v>8</v>
      </c>
      <c r="M580" s="4">
        <v>1</v>
      </c>
      <c r="N580" s="22">
        <v>30</v>
      </c>
      <c r="O580" s="24">
        <f>M580 * N580</f>
        <v>30</v>
      </c>
      <c r="P580" s="16">
        <f>O580 * $S$3</f>
        <v>0.44999999999999996</v>
      </c>
      <c r="Q580" s="16">
        <f>O580 * $S$4</f>
        <v>0.6</v>
      </c>
    </row>
    <row r="581" spans="1:17">
      <c r="A581" s="2">
        <v>580</v>
      </c>
      <c r="B581" s="4">
        <f t="shared" si="45"/>
        <v>6</v>
      </c>
      <c r="C581" s="4">
        <f t="shared" si="46"/>
        <v>12</v>
      </c>
      <c r="D581" s="4">
        <f t="shared" si="47"/>
        <v>2023</v>
      </c>
      <c r="E581" s="4" t="str">
        <f t="shared" si="48"/>
        <v>Wed</v>
      </c>
      <c r="F581" s="4" t="str">
        <f t="shared" si="49"/>
        <v>Dec</v>
      </c>
      <c r="G581" s="3">
        <v>45266</v>
      </c>
      <c r="H581" s="4" t="s">
        <v>243</v>
      </c>
      <c r="I581" s="4" t="s">
        <v>3</v>
      </c>
      <c r="J581" s="4" t="str" cm="1">
        <f t="array" ref="J581">_xlfn.IFS(K581&gt;=50, "Senior", K581&gt;=30, "Adult", K581&lt;30,"Young Adult")</f>
        <v>Adult</v>
      </c>
      <c r="K581" s="4">
        <v>38</v>
      </c>
      <c r="L581" s="4" t="s">
        <v>7</v>
      </c>
      <c r="M581" s="4">
        <v>3</v>
      </c>
      <c r="N581" s="22">
        <v>500</v>
      </c>
      <c r="O581" s="24">
        <f>M581 * N581</f>
        <v>1500</v>
      </c>
      <c r="P581" s="16">
        <f>O581 * $S$3</f>
        <v>22.5</v>
      </c>
      <c r="Q581" s="16">
        <f>O581 * $S$4</f>
        <v>30</v>
      </c>
    </row>
    <row r="582" spans="1:17">
      <c r="A582" s="2">
        <v>581</v>
      </c>
      <c r="B582" s="4">
        <f t="shared" si="45"/>
        <v>21</v>
      </c>
      <c r="C582" s="4">
        <f t="shared" si="46"/>
        <v>11</v>
      </c>
      <c r="D582" s="4">
        <f t="shared" si="47"/>
        <v>2023</v>
      </c>
      <c r="E582" s="4" t="str">
        <f t="shared" si="48"/>
        <v>Tue</v>
      </c>
      <c r="F582" s="4" t="str">
        <f t="shared" si="49"/>
        <v>Nov</v>
      </c>
      <c r="G582" s="3">
        <v>45251</v>
      </c>
      <c r="H582" s="4" t="s">
        <v>113</v>
      </c>
      <c r="I582" s="4" t="s">
        <v>3</v>
      </c>
      <c r="J582" s="4" t="str" cm="1">
        <f t="array" ref="J582">_xlfn.IFS(K582&gt;=50, "Senior", K582&gt;=30, "Adult", K582&lt;30,"Young Adult")</f>
        <v>Adult</v>
      </c>
      <c r="K582" s="4">
        <v>38</v>
      </c>
      <c r="L582" s="4" t="s">
        <v>6</v>
      </c>
      <c r="M582" s="4">
        <v>2</v>
      </c>
      <c r="N582" s="22">
        <v>30</v>
      </c>
      <c r="O582" s="24">
        <f>M582 * N582</f>
        <v>60</v>
      </c>
      <c r="P582" s="16">
        <f>O582 * $S$3</f>
        <v>0.89999999999999991</v>
      </c>
      <c r="Q582" s="16">
        <f>O582 * $S$4</f>
        <v>1.2</v>
      </c>
    </row>
    <row r="583" spans="1:17">
      <c r="A583" s="2">
        <v>582</v>
      </c>
      <c r="B583" s="4">
        <f t="shared" si="45"/>
        <v>14</v>
      </c>
      <c r="C583" s="4">
        <f t="shared" si="46"/>
        <v>11</v>
      </c>
      <c r="D583" s="4">
        <f t="shared" si="47"/>
        <v>2023</v>
      </c>
      <c r="E583" s="4" t="str">
        <f t="shared" si="48"/>
        <v>Tue</v>
      </c>
      <c r="F583" s="4" t="str">
        <f t="shared" si="49"/>
        <v>Nov</v>
      </c>
      <c r="G583" s="3">
        <v>45244</v>
      </c>
      <c r="H583" s="4" t="s">
        <v>242</v>
      </c>
      <c r="I583" s="4" t="s">
        <v>4</v>
      </c>
      <c r="J583" s="4" t="str" cm="1">
        <f t="array" ref="J583">_xlfn.IFS(K583&gt;=50, "Senior", K583&gt;=30, "Adult", K583&lt;30,"Young Adult")</f>
        <v>Adult</v>
      </c>
      <c r="K583" s="4">
        <v>38</v>
      </c>
      <c r="L583" s="4" t="s">
        <v>7</v>
      </c>
      <c r="M583" s="4">
        <v>3</v>
      </c>
      <c r="N583" s="22">
        <v>300</v>
      </c>
      <c r="O583" s="24">
        <f>M583 * N583</f>
        <v>900</v>
      </c>
      <c r="P583" s="16">
        <f>O583 * $S$3</f>
        <v>13.5</v>
      </c>
      <c r="Q583" s="16">
        <f>O583 * $S$4</f>
        <v>18</v>
      </c>
    </row>
    <row r="584" spans="1:17">
      <c r="A584" s="2">
        <v>583</v>
      </c>
      <c r="B584" s="4">
        <f t="shared" si="45"/>
        <v>21</v>
      </c>
      <c r="C584" s="4">
        <f t="shared" si="46"/>
        <v>6</v>
      </c>
      <c r="D584" s="4">
        <f t="shared" si="47"/>
        <v>2023</v>
      </c>
      <c r="E584" s="4" t="str">
        <f t="shared" si="48"/>
        <v>Wed</v>
      </c>
      <c r="F584" s="4" t="str">
        <f t="shared" si="49"/>
        <v>Jun</v>
      </c>
      <c r="G584" s="3">
        <v>45098</v>
      </c>
      <c r="H584" s="4" t="s">
        <v>747</v>
      </c>
      <c r="I584" s="4" t="s">
        <v>3</v>
      </c>
      <c r="J584" s="4" t="str" cm="1">
        <f t="array" ref="J584">_xlfn.IFS(K584&gt;=50, "Senior", K584&gt;=30, "Adult", K584&lt;30,"Young Adult")</f>
        <v>Adult</v>
      </c>
      <c r="K584" s="4">
        <v>38</v>
      </c>
      <c r="L584" s="4" t="s">
        <v>8</v>
      </c>
      <c r="M584" s="4">
        <v>4</v>
      </c>
      <c r="N584" s="22">
        <v>25</v>
      </c>
      <c r="O584" s="24">
        <f>M584 * N584</f>
        <v>100</v>
      </c>
      <c r="P584" s="16">
        <f>O584 * $S$3</f>
        <v>1.5</v>
      </c>
      <c r="Q584" s="16">
        <f>O584 * $S$4</f>
        <v>2</v>
      </c>
    </row>
    <row r="585" spans="1:17">
      <c r="A585" s="2">
        <v>584</v>
      </c>
      <c r="B585" s="4">
        <f t="shared" si="45"/>
        <v>17</v>
      </c>
      <c r="C585" s="4">
        <f t="shared" si="46"/>
        <v>2</v>
      </c>
      <c r="D585" s="4">
        <f t="shared" si="47"/>
        <v>2023</v>
      </c>
      <c r="E585" s="4" t="str">
        <f t="shared" si="48"/>
        <v>Fri</v>
      </c>
      <c r="F585" s="4" t="str">
        <f t="shared" si="49"/>
        <v>Feb</v>
      </c>
      <c r="G585" s="3">
        <v>44974</v>
      </c>
      <c r="H585" s="4" t="s">
        <v>748</v>
      </c>
      <c r="I585" s="4" t="s">
        <v>3</v>
      </c>
      <c r="J585" s="4" t="str" cm="1">
        <f t="array" ref="J585">_xlfn.IFS(K585&gt;=50, "Senior", K585&gt;=30, "Adult", K585&lt;30,"Young Adult")</f>
        <v>Adult</v>
      </c>
      <c r="K585" s="4">
        <v>38</v>
      </c>
      <c r="L585" s="4" t="s">
        <v>6</v>
      </c>
      <c r="M585" s="4">
        <v>4</v>
      </c>
      <c r="N585" s="22">
        <v>50</v>
      </c>
      <c r="O585" s="24">
        <f>M585 * N585</f>
        <v>200</v>
      </c>
      <c r="P585" s="16">
        <f>O585 * $S$3</f>
        <v>3</v>
      </c>
      <c r="Q585" s="16">
        <f>O585 * $S$4</f>
        <v>4</v>
      </c>
    </row>
    <row r="586" spans="1:17">
      <c r="A586" s="2">
        <v>585</v>
      </c>
      <c r="B586" s="4">
        <f t="shared" si="45"/>
        <v>1</v>
      </c>
      <c r="C586" s="4">
        <f t="shared" si="46"/>
        <v>5</v>
      </c>
      <c r="D586" s="4">
        <f t="shared" si="47"/>
        <v>2023</v>
      </c>
      <c r="E586" s="4" t="str">
        <f t="shared" si="48"/>
        <v>Mon</v>
      </c>
      <c r="F586" s="4" t="str">
        <f t="shared" si="49"/>
        <v>May</v>
      </c>
      <c r="G586" s="3">
        <v>45047</v>
      </c>
      <c r="H586" s="4" t="s">
        <v>749</v>
      </c>
      <c r="I586" s="4" t="s">
        <v>3</v>
      </c>
      <c r="J586" s="4" t="str" cm="1">
        <f t="array" ref="J586">_xlfn.IFS(K586&gt;=50, "Senior", K586&gt;=30, "Adult", K586&lt;30,"Young Adult")</f>
        <v>Adult</v>
      </c>
      <c r="K586" s="4">
        <v>38</v>
      </c>
      <c r="L586" s="4" t="s">
        <v>7</v>
      </c>
      <c r="M586" s="4">
        <v>1</v>
      </c>
      <c r="N586" s="22">
        <v>25</v>
      </c>
      <c r="O586" s="24">
        <f>M586 * N586</f>
        <v>25</v>
      </c>
      <c r="P586" s="16">
        <f>O586 * $S$3</f>
        <v>0.375</v>
      </c>
      <c r="Q586" s="16">
        <f>O586 * $S$4</f>
        <v>0.5</v>
      </c>
    </row>
    <row r="587" spans="1:17">
      <c r="A587" s="2">
        <v>586</v>
      </c>
      <c r="B587" s="4">
        <f t="shared" si="45"/>
        <v>11</v>
      </c>
      <c r="C587" s="4">
        <f t="shared" si="46"/>
        <v>12</v>
      </c>
      <c r="D587" s="4">
        <f t="shared" si="47"/>
        <v>2023</v>
      </c>
      <c r="E587" s="4" t="str">
        <f t="shared" si="48"/>
        <v>Mon</v>
      </c>
      <c r="F587" s="4" t="str">
        <f t="shared" si="49"/>
        <v>Dec</v>
      </c>
      <c r="G587" s="3">
        <v>45271</v>
      </c>
      <c r="H587" s="4" t="s">
        <v>750</v>
      </c>
      <c r="I587" s="4" t="s">
        <v>4</v>
      </c>
      <c r="J587" s="4" t="str" cm="1">
        <f t="array" ref="J587">_xlfn.IFS(K587&gt;=50, "Senior", K587&gt;=30, "Adult", K587&lt;30,"Young Adult")</f>
        <v>Adult</v>
      </c>
      <c r="K587" s="4">
        <v>38</v>
      </c>
      <c r="L587" s="4" t="s">
        <v>8</v>
      </c>
      <c r="M587" s="4">
        <v>1</v>
      </c>
      <c r="N587" s="22">
        <v>50</v>
      </c>
      <c r="O587" s="24">
        <f>M587 * N587</f>
        <v>50</v>
      </c>
      <c r="P587" s="16">
        <f>O587 * $S$3</f>
        <v>0.75</v>
      </c>
      <c r="Q587" s="16">
        <f>O587 * $S$4</f>
        <v>1</v>
      </c>
    </row>
    <row r="588" spans="1:17">
      <c r="A588" s="2">
        <v>587</v>
      </c>
      <c r="B588" s="4">
        <f t="shared" si="45"/>
        <v>8</v>
      </c>
      <c r="C588" s="4">
        <f t="shared" si="46"/>
        <v>6</v>
      </c>
      <c r="D588" s="4">
        <f t="shared" si="47"/>
        <v>2023</v>
      </c>
      <c r="E588" s="4" t="str">
        <f t="shared" si="48"/>
        <v>Thu</v>
      </c>
      <c r="F588" s="4" t="str">
        <f t="shared" si="49"/>
        <v>Jun</v>
      </c>
      <c r="G588" s="3">
        <v>45085</v>
      </c>
      <c r="H588" s="4" t="s">
        <v>112</v>
      </c>
      <c r="I588" s="4" t="s">
        <v>3</v>
      </c>
      <c r="J588" s="4" t="str" cm="1">
        <f t="array" ref="J588">_xlfn.IFS(K588&gt;=50, "Senior", K588&gt;=30, "Adult", K588&lt;30,"Young Adult")</f>
        <v>Adult</v>
      </c>
      <c r="K588" s="4">
        <v>38</v>
      </c>
      <c r="L588" s="4" t="s">
        <v>6</v>
      </c>
      <c r="M588" s="4">
        <v>4</v>
      </c>
      <c r="N588" s="22">
        <v>300</v>
      </c>
      <c r="O588" s="24">
        <f>M588 * N588</f>
        <v>1200</v>
      </c>
      <c r="P588" s="16">
        <f>O588 * $S$3</f>
        <v>18</v>
      </c>
      <c r="Q588" s="16">
        <f>O588 * $S$4</f>
        <v>24</v>
      </c>
    </row>
    <row r="589" spans="1:17">
      <c r="A589" s="2">
        <v>588</v>
      </c>
      <c r="B589" s="4">
        <f t="shared" si="45"/>
        <v>26</v>
      </c>
      <c r="C589" s="4">
        <f t="shared" si="46"/>
        <v>4</v>
      </c>
      <c r="D589" s="4">
        <f t="shared" si="47"/>
        <v>2023</v>
      </c>
      <c r="E589" s="4" t="str">
        <f t="shared" si="48"/>
        <v>Wed</v>
      </c>
      <c r="F589" s="4" t="str">
        <f t="shared" si="49"/>
        <v>Apr</v>
      </c>
      <c r="G589" s="3">
        <v>45042</v>
      </c>
      <c r="H589" s="4" t="s">
        <v>751</v>
      </c>
      <c r="I589" s="4" t="s">
        <v>4</v>
      </c>
      <c r="J589" s="4" t="str" cm="1">
        <f t="array" ref="J589">_xlfn.IFS(K589&gt;=50, "Senior", K589&gt;=30, "Adult", K589&lt;30,"Young Adult")</f>
        <v>Adult</v>
      </c>
      <c r="K589" s="4">
        <v>38</v>
      </c>
      <c r="L589" s="4" t="s">
        <v>8</v>
      </c>
      <c r="M589" s="4">
        <v>2</v>
      </c>
      <c r="N589" s="22">
        <v>30</v>
      </c>
      <c r="O589" s="24">
        <f>M589 * N589</f>
        <v>60</v>
      </c>
      <c r="P589" s="16">
        <f>O589 * $S$3</f>
        <v>0.89999999999999991</v>
      </c>
      <c r="Q589" s="16">
        <f>O589 * $S$4</f>
        <v>1.2</v>
      </c>
    </row>
    <row r="590" spans="1:17">
      <c r="A590" s="2">
        <v>589</v>
      </c>
      <c r="B590" s="4">
        <f t="shared" si="45"/>
        <v>12</v>
      </c>
      <c r="C590" s="4">
        <f t="shared" si="46"/>
        <v>4</v>
      </c>
      <c r="D590" s="4">
        <f t="shared" si="47"/>
        <v>2023</v>
      </c>
      <c r="E590" s="4" t="str">
        <f t="shared" si="48"/>
        <v>Wed</v>
      </c>
      <c r="F590" s="4" t="str">
        <f t="shared" si="49"/>
        <v>Apr</v>
      </c>
      <c r="G590" s="3">
        <v>45028</v>
      </c>
      <c r="H590" s="4" t="s">
        <v>110</v>
      </c>
      <c r="I590" s="4" t="s">
        <v>3</v>
      </c>
      <c r="J590" s="4" t="str" cm="1">
        <f t="array" ref="J590">_xlfn.IFS(K590&gt;=50, "Senior", K590&gt;=30, "Adult", K590&lt;30,"Young Adult")</f>
        <v>Adult</v>
      </c>
      <c r="K590" s="4">
        <v>38</v>
      </c>
      <c r="L590" s="4" t="s">
        <v>6</v>
      </c>
      <c r="M590" s="4">
        <v>2</v>
      </c>
      <c r="N590" s="22">
        <v>500</v>
      </c>
      <c r="O590" s="24">
        <f>M590 * N590</f>
        <v>1000</v>
      </c>
      <c r="P590" s="16">
        <f>O590 * $S$3</f>
        <v>15</v>
      </c>
      <c r="Q590" s="16">
        <f>O590 * $S$4</f>
        <v>20</v>
      </c>
    </row>
    <row r="591" spans="1:17">
      <c r="A591" s="2">
        <v>590</v>
      </c>
      <c r="B591" s="4">
        <f t="shared" si="45"/>
        <v>17</v>
      </c>
      <c r="C591" s="4">
        <f t="shared" si="46"/>
        <v>3</v>
      </c>
      <c r="D591" s="4">
        <f t="shared" si="47"/>
        <v>2023</v>
      </c>
      <c r="E591" s="4" t="str">
        <f t="shared" si="48"/>
        <v>Fri</v>
      </c>
      <c r="F591" s="4" t="str">
        <f t="shared" si="49"/>
        <v>Mar</v>
      </c>
      <c r="G591" s="3">
        <v>45002</v>
      </c>
      <c r="H591" s="4" t="s">
        <v>241</v>
      </c>
      <c r="I591" s="4" t="s">
        <v>4</v>
      </c>
      <c r="J591" s="4" t="str" cm="1">
        <f t="array" ref="J591">_xlfn.IFS(K591&gt;=50, "Senior", K591&gt;=30, "Adult", K591&lt;30,"Young Adult")</f>
        <v>Adult</v>
      </c>
      <c r="K591" s="4">
        <v>38</v>
      </c>
      <c r="L591" s="4" t="s">
        <v>7</v>
      </c>
      <c r="M591" s="4">
        <v>3</v>
      </c>
      <c r="N591" s="22">
        <v>300</v>
      </c>
      <c r="O591" s="24">
        <f>M591 * N591</f>
        <v>900</v>
      </c>
      <c r="P591" s="16">
        <f>O591 * $S$3</f>
        <v>13.5</v>
      </c>
      <c r="Q591" s="16">
        <f>O591 * $S$4</f>
        <v>18</v>
      </c>
    </row>
    <row r="592" spans="1:17">
      <c r="A592" s="2">
        <v>591</v>
      </c>
      <c r="B592" s="4">
        <f t="shared" si="45"/>
        <v>13</v>
      </c>
      <c r="C592" s="4">
        <f t="shared" si="46"/>
        <v>1</v>
      </c>
      <c r="D592" s="4">
        <f t="shared" si="47"/>
        <v>2023</v>
      </c>
      <c r="E592" s="4" t="str">
        <f t="shared" si="48"/>
        <v>Fri</v>
      </c>
      <c r="F592" s="4" t="str">
        <f t="shared" si="49"/>
        <v>Jan</v>
      </c>
      <c r="G592" s="3">
        <v>44939</v>
      </c>
      <c r="H592" s="4" t="s">
        <v>752</v>
      </c>
      <c r="I592" s="4" t="s">
        <v>4</v>
      </c>
      <c r="J592" s="4" t="str" cm="1">
        <f t="array" ref="J592">_xlfn.IFS(K592&gt;=50, "Senior", K592&gt;=30, "Adult", K592&lt;30,"Young Adult")</f>
        <v>Adult</v>
      </c>
      <c r="K592" s="4">
        <v>38</v>
      </c>
      <c r="L592" s="4" t="s">
        <v>8</v>
      </c>
      <c r="M592" s="4">
        <v>4</v>
      </c>
      <c r="N592" s="22">
        <v>25</v>
      </c>
      <c r="O592" s="24">
        <f>M592 * N592</f>
        <v>100</v>
      </c>
      <c r="P592" s="16">
        <f>O592 * $S$3</f>
        <v>1.5</v>
      </c>
      <c r="Q592" s="16">
        <f>O592 * $S$4</f>
        <v>2</v>
      </c>
    </row>
    <row r="593" spans="1:17">
      <c r="A593" s="2">
        <v>592</v>
      </c>
      <c r="B593" s="4">
        <f t="shared" si="45"/>
        <v>24</v>
      </c>
      <c r="C593" s="4">
        <f t="shared" si="46"/>
        <v>1</v>
      </c>
      <c r="D593" s="4">
        <f t="shared" si="47"/>
        <v>2023</v>
      </c>
      <c r="E593" s="4" t="str">
        <f t="shared" si="48"/>
        <v>Tue</v>
      </c>
      <c r="F593" s="4" t="str">
        <f t="shared" si="49"/>
        <v>Jan</v>
      </c>
      <c r="G593" s="3">
        <v>44950</v>
      </c>
      <c r="H593" s="4" t="s">
        <v>109</v>
      </c>
      <c r="I593" s="4" t="s">
        <v>3</v>
      </c>
      <c r="J593" s="4" t="str" cm="1">
        <f t="array" ref="J593">_xlfn.IFS(K593&gt;=50, "Senior", K593&gt;=30, "Adult", K593&lt;30,"Young Adult")</f>
        <v>Adult</v>
      </c>
      <c r="K593" s="4">
        <v>38</v>
      </c>
      <c r="L593" s="4" t="s">
        <v>6</v>
      </c>
      <c r="M593" s="4">
        <v>4</v>
      </c>
      <c r="N593" s="22">
        <v>500</v>
      </c>
      <c r="O593" s="24">
        <f>M593 * N593</f>
        <v>2000</v>
      </c>
      <c r="P593" s="16">
        <f>O593 * $S$3</f>
        <v>30</v>
      </c>
      <c r="Q593" s="16">
        <f>O593 * $S$4</f>
        <v>40</v>
      </c>
    </row>
    <row r="594" spans="1:17">
      <c r="A594" s="2">
        <v>593</v>
      </c>
      <c r="B594" s="4">
        <f t="shared" si="45"/>
        <v>6</v>
      </c>
      <c r="C594" s="4">
        <f t="shared" si="46"/>
        <v>5</v>
      </c>
      <c r="D594" s="4">
        <f t="shared" si="47"/>
        <v>2023</v>
      </c>
      <c r="E594" s="4" t="str">
        <f t="shared" si="48"/>
        <v>Sat</v>
      </c>
      <c r="F594" s="4" t="str">
        <f t="shared" si="49"/>
        <v>May</v>
      </c>
      <c r="G594" s="3">
        <v>45052</v>
      </c>
      <c r="H594" s="4" t="s">
        <v>753</v>
      </c>
      <c r="I594" s="4" t="s">
        <v>4</v>
      </c>
      <c r="J594" s="4" t="str" cm="1">
        <f t="array" ref="J594">_xlfn.IFS(K594&gt;=50, "Senior", K594&gt;=30, "Adult", K594&lt;30,"Young Adult")</f>
        <v>Adult</v>
      </c>
      <c r="K594" s="4">
        <v>38</v>
      </c>
      <c r="L594" s="4" t="s">
        <v>8</v>
      </c>
      <c r="M594" s="4">
        <v>2</v>
      </c>
      <c r="N594" s="22">
        <v>30</v>
      </c>
      <c r="O594" s="24">
        <f>M594 * N594</f>
        <v>60</v>
      </c>
      <c r="P594" s="16">
        <f>O594 * $S$3</f>
        <v>0.89999999999999991</v>
      </c>
      <c r="Q594" s="16">
        <f>O594 * $S$4</f>
        <v>1.2</v>
      </c>
    </row>
    <row r="595" spans="1:17">
      <c r="A595" s="2">
        <v>594</v>
      </c>
      <c r="B595" s="4">
        <f t="shared" si="45"/>
        <v>1</v>
      </c>
      <c r="C595" s="4">
        <f t="shared" si="46"/>
        <v>9</v>
      </c>
      <c r="D595" s="4">
        <f t="shared" si="47"/>
        <v>2023</v>
      </c>
      <c r="E595" s="4" t="str">
        <f t="shared" si="48"/>
        <v>Fri</v>
      </c>
      <c r="F595" s="4" t="str">
        <f t="shared" si="49"/>
        <v>Sep</v>
      </c>
      <c r="G595" s="3">
        <v>45170</v>
      </c>
      <c r="H595" s="4" t="s">
        <v>754</v>
      </c>
      <c r="I595" s="4" t="s">
        <v>3</v>
      </c>
      <c r="J595" s="4" t="str" cm="1">
        <f t="array" ref="J595">_xlfn.IFS(K595&gt;=50, "Senior", K595&gt;=30, "Adult", K595&lt;30,"Young Adult")</f>
        <v>Adult</v>
      </c>
      <c r="K595" s="4">
        <v>38</v>
      </c>
      <c r="L595" s="4" t="s">
        <v>8</v>
      </c>
      <c r="M595" s="4">
        <v>2</v>
      </c>
      <c r="N595" s="22">
        <v>300</v>
      </c>
      <c r="O595" s="24">
        <f>M595 * N595</f>
        <v>600</v>
      </c>
      <c r="P595" s="16">
        <f>O595 * $S$3</f>
        <v>9</v>
      </c>
      <c r="Q595" s="16">
        <f>O595 * $S$4</f>
        <v>12</v>
      </c>
    </row>
    <row r="596" spans="1:17">
      <c r="A596" s="2">
        <v>595</v>
      </c>
      <c r="B596" s="4">
        <f t="shared" si="45"/>
        <v>9</v>
      </c>
      <c r="C596" s="4">
        <f t="shared" si="46"/>
        <v>11</v>
      </c>
      <c r="D596" s="4">
        <f t="shared" si="47"/>
        <v>2023</v>
      </c>
      <c r="E596" s="4" t="str">
        <f t="shared" si="48"/>
        <v>Thu</v>
      </c>
      <c r="F596" s="4" t="str">
        <f t="shared" si="49"/>
        <v>Nov</v>
      </c>
      <c r="G596" s="3">
        <v>45239</v>
      </c>
      <c r="H596" s="4" t="s">
        <v>755</v>
      </c>
      <c r="I596" s="4" t="s">
        <v>3</v>
      </c>
      <c r="J596" s="4" t="str" cm="1">
        <f t="array" ref="J596">_xlfn.IFS(K596&gt;=50, "Senior", K596&gt;=30, "Adult", K596&lt;30,"Young Adult")</f>
        <v>Adult</v>
      </c>
      <c r="K596" s="4">
        <v>38</v>
      </c>
      <c r="L596" s="4" t="s">
        <v>7</v>
      </c>
      <c r="M596" s="4">
        <v>4</v>
      </c>
      <c r="N596" s="22">
        <v>500</v>
      </c>
      <c r="O596" s="24">
        <f>M596 * N596</f>
        <v>2000</v>
      </c>
      <c r="P596" s="16">
        <f>O596 * $S$3</f>
        <v>30</v>
      </c>
      <c r="Q596" s="16">
        <f>O596 * $S$4</f>
        <v>40</v>
      </c>
    </row>
    <row r="597" spans="1:17">
      <c r="A597" s="2">
        <v>596</v>
      </c>
      <c r="B597" s="4">
        <f t="shared" si="45"/>
        <v>7</v>
      </c>
      <c r="C597" s="4">
        <f t="shared" si="46"/>
        <v>2</v>
      </c>
      <c r="D597" s="4">
        <f t="shared" si="47"/>
        <v>2023</v>
      </c>
      <c r="E597" s="4" t="str">
        <f t="shared" si="48"/>
        <v>Tue</v>
      </c>
      <c r="F597" s="4" t="str">
        <f t="shared" si="49"/>
        <v>Feb</v>
      </c>
      <c r="G597" s="3">
        <v>44964</v>
      </c>
      <c r="H597" s="4" t="s">
        <v>756</v>
      </c>
      <c r="I597" s="4" t="s">
        <v>3</v>
      </c>
      <c r="J597" s="4" t="str" cm="1">
        <f t="array" ref="J597">_xlfn.IFS(K597&gt;=50, "Senior", K597&gt;=30, "Adult", K597&lt;30,"Young Adult")</f>
        <v>Adult</v>
      </c>
      <c r="K597" s="4">
        <v>37</v>
      </c>
      <c r="L597" s="4" t="s">
        <v>8</v>
      </c>
      <c r="M597" s="4">
        <v>1</v>
      </c>
      <c r="N597" s="22">
        <v>300</v>
      </c>
      <c r="O597" s="24">
        <f>M597 * N597</f>
        <v>300</v>
      </c>
      <c r="P597" s="16">
        <f>O597 * $S$3</f>
        <v>4.5</v>
      </c>
      <c r="Q597" s="16">
        <f>O597 * $S$4</f>
        <v>6</v>
      </c>
    </row>
    <row r="598" spans="1:17">
      <c r="A598" s="2">
        <v>597</v>
      </c>
      <c r="B598" s="4">
        <f t="shared" si="45"/>
        <v>22</v>
      </c>
      <c r="C598" s="4">
        <f t="shared" si="46"/>
        <v>8</v>
      </c>
      <c r="D598" s="4">
        <f t="shared" si="47"/>
        <v>2023</v>
      </c>
      <c r="E598" s="4" t="str">
        <f t="shared" si="48"/>
        <v>Tue</v>
      </c>
      <c r="F598" s="4" t="str">
        <f t="shared" si="49"/>
        <v>Aug</v>
      </c>
      <c r="G598" s="3">
        <v>45160</v>
      </c>
      <c r="H598" s="4" t="s">
        <v>757</v>
      </c>
      <c r="I598" s="4" t="s">
        <v>4</v>
      </c>
      <c r="J598" s="4" t="str" cm="1">
        <f t="array" ref="J598">_xlfn.IFS(K598&gt;=50, "Senior", K598&gt;=30, "Adult", K598&lt;30,"Young Adult")</f>
        <v>Adult</v>
      </c>
      <c r="K598" s="4">
        <v>37</v>
      </c>
      <c r="L598" s="4" t="s">
        <v>6</v>
      </c>
      <c r="M598" s="4">
        <v>4</v>
      </c>
      <c r="N598" s="22">
        <v>300</v>
      </c>
      <c r="O598" s="24">
        <f>M598 * N598</f>
        <v>1200</v>
      </c>
      <c r="P598" s="16">
        <f>O598 * $S$3</f>
        <v>18</v>
      </c>
      <c r="Q598" s="16">
        <f>O598 * $S$4</f>
        <v>24</v>
      </c>
    </row>
    <row r="599" spans="1:17">
      <c r="A599" s="2">
        <v>598</v>
      </c>
      <c r="B599" s="4">
        <f t="shared" si="45"/>
        <v>1</v>
      </c>
      <c r="C599" s="4">
        <f t="shared" si="46"/>
        <v>8</v>
      </c>
      <c r="D599" s="4">
        <f t="shared" si="47"/>
        <v>2023</v>
      </c>
      <c r="E599" s="4" t="str">
        <f t="shared" si="48"/>
        <v>Tue</v>
      </c>
      <c r="F599" s="4" t="str">
        <f t="shared" si="49"/>
        <v>Aug</v>
      </c>
      <c r="G599" s="3">
        <v>45139</v>
      </c>
      <c r="H599" s="4" t="s">
        <v>108</v>
      </c>
      <c r="I599" s="4" t="s">
        <v>4</v>
      </c>
      <c r="J599" s="4" t="str" cm="1">
        <f t="array" ref="J599">_xlfn.IFS(K599&gt;=50, "Senior", K599&gt;=30, "Adult", K599&lt;30,"Young Adult")</f>
        <v>Adult</v>
      </c>
      <c r="K599" s="4">
        <v>37</v>
      </c>
      <c r="L599" s="4" t="s">
        <v>6</v>
      </c>
      <c r="M599" s="4">
        <v>4</v>
      </c>
      <c r="N599" s="22">
        <v>30</v>
      </c>
      <c r="O599" s="24">
        <f>M599 * N599</f>
        <v>120</v>
      </c>
      <c r="P599" s="16">
        <f>O599 * $S$3</f>
        <v>1.7999999999999998</v>
      </c>
      <c r="Q599" s="16">
        <f>O599 * $S$4</f>
        <v>2.4</v>
      </c>
    </row>
    <row r="600" spans="1:17">
      <c r="A600" s="2">
        <v>599</v>
      </c>
      <c r="B600" s="4">
        <f t="shared" si="45"/>
        <v>19</v>
      </c>
      <c r="C600" s="4">
        <f t="shared" si="46"/>
        <v>11</v>
      </c>
      <c r="D600" s="4">
        <f t="shared" si="47"/>
        <v>2023</v>
      </c>
      <c r="E600" s="4" t="str">
        <f t="shared" si="48"/>
        <v>Sun</v>
      </c>
      <c r="F600" s="4" t="str">
        <f t="shared" si="49"/>
        <v>Nov</v>
      </c>
      <c r="G600" s="3">
        <v>45249</v>
      </c>
      <c r="H600" s="4" t="s">
        <v>758</v>
      </c>
      <c r="I600" s="4" t="s">
        <v>3</v>
      </c>
      <c r="J600" s="4" t="str" cm="1">
        <f t="array" ref="J600">_xlfn.IFS(K600&gt;=50, "Senior", K600&gt;=30, "Adult", K600&lt;30,"Young Adult")</f>
        <v>Adult</v>
      </c>
      <c r="K600" s="4">
        <v>37</v>
      </c>
      <c r="L600" s="4" t="s">
        <v>6</v>
      </c>
      <c r="M600" s="4">
        <v>2</v>
      </c>
      <c r="N600" s="22">
        <v>50</v>
      </c>
      <c r="O600" s="24">
        <f>M600 * N600</f>
        <v>100</v>
      </c>
      <c r="P600" s="16">
        <f>O600 * $S$3</f>
        <v>1.5</v>
      </c>
      <c r="Q600" s="16">
        <f>O600 * $S$4</f>
        <v>2</v>
      </c>
    </row>
    <row r="601" spans="1:17">
      <c r="A601" s="2">
        <v>600</v>
      </c>
      <c r="B601" s="4">
        <f t="shared" si="45"/>
        <v>22</v>
      </c>
      <c r="C601" s="4">
        <f t="shared" si="46"/>
        <v>10</v>
      </c>
      <c r="D601" s="4">
        <f t="shared" si="47"/>
        <v>2023</v>
      </c>
      <c r="E601" s="4" t="str">
        <f t="shared" si="48"/>
        <v>Sun</v>
      </c>
      <c r="F601" s="4" t="str">
        <f t="shared" si="49"/>
        <v>Oct</v>
      </c>
      <c r="G601" s="3">
        <v>45221</v>
      </c>
      <c r="H601" s="4" t="s">
        <v>759</v>
      </c>
      <c r="I601" s="4" t="s">
        <v>3</v>
      </c>
      <c r="J601" s="4" t="str" cm="1">
        <f t="array" ref="J601">_xlfn.IFS(K601&gt;=50, "Senior", K601&gt;=30, "Adult", K601&lt;30,"Young Adult")</f>
        <v>Adult</v>
      </c>
      <c r="K601" s="4">
        <v>37</v>
      </c>
      <c r="L601" s="4" t="s">
        <v>6</v>
      </c>
      <c r="M601" s="4">
        <v>2</v>
      </c>
      <c r="N601" s="22">
        <v>500</v>
      </c>
      <c r="O601" s="24">
        <f>M601 * N601</f>
        <v>1000</v>
      </c>
      <c r="P601" s="16">
        <f>O601 * $S$3</f>
        <v>15</v>
      </c>
      <c r="Q601" s="16">
        <f>O601 * $S$4</f>
        <v>20</v>
      </c>
    </row>
    <row r="602" spans="1:17">
      <c r="A602" s="2">
        <v>601</v>
      </c>
      <c r="B602" s="4">
        <f t="shared" si="45"/>
        <v>10</v>
      </c>
      <c r="C602" s="4">
        <f t="shared" si="46"/>
        <v>4</v>
      </c>
      <c r="D602" s="4">
        <f t="shared" si="47"/>
        <v>2023</v>
      </c>
      <c r="E602" s="4" t="str">
        <f t="shared" si="48"/>
        <v>Mon</v>
      </c>
      <c r="F602" s="4" t="str">
        <f t="shared" si="49"/>
        <v>Apr</v>
      </c>
      <c r="G602" s="3">
        <v>45026</v>
      </c>
      <c r="H602" s="4" t="s">
        <v>760</v>
      </c>
      <c r="I602" s="4" t="s">
        <v>4</v>
      </c>
      <c r="J602" s="4" t="str" cm="1">
        <f t="array" ref="J602">_xlfn.IFS(K602&gt;=50, "Senior", K602&gt;=30, "Adult", K602&lt;30,"Young Adult")</f>
        <v>Adult</v>
      </c>
      <c r="K602" s="4">
        <v>37</v>
      </c>
      <c r="L602" s="4" t="s">
        <v>7</v>
      </c>
      <c r="M602" s="4">
        <v>1</v>
      </c>
      <c r="N602" s="22">
        <v>30</v>
      </c>
      <c r="O602" s="24">
        <f>M602 * N602</f>
        <v>30</v>
      </c>
      <c r="P602" s="16">
        <f>O602 * $S$3</f>
        <v>0.44999999999999996</v>
      </c>
      <c r="Q602" s="16">
        <f>O602 * $S$4</f>
        <v>0.6</v>
      </c>
    </row>
    <row r="603" spans="1:17">
      <c r="A603" s="2">
        <v>602</v>
      </c>
      <c r="B603" s="4">
        <f t="shared" si="45"/>
        <v>23</v>
      </c>
      <c r="C603" s="4">
        <f t="shared" si="46"/>
        <v>12</v>
      </c>
      <c r="D603" s="4">
        <f t="shared" si="47"/>
        <v>2023</v>
      </c>
      <c r="E603" s="4" t="str">
        <f t="shared" si="48"/>
        <v>Sat</v>
      </c>
      <c r="F603" s="4" t="str">
        <f t="shared" si="49"/>
        <v>Dec</v>
      </c>
      <c r="G603" s="3">
        <v>45283</v>
      </c>
      <c r="H603" s="4" t="s">
        <v>761</v>
      </c>
      <c r="I603" s="4" t="s">
        <v>3</v>
      </c>
      <c r="J603" s="4" t="str" cm="1">
        <f t="array" ref="J603">_xlfn.IFS(K603&gt;=50, "Senior", K603&gt;=30, "Adult", K603&lt;30,"Young Adult")</f>
        <v>Adult</v>
      </c>
      <c r="K603" s="4">
        <v>37</v>
      </c>
      <c r="L603" s="4" t="s">
        <v>8</v>
      </c>
      <c r="M603" s="4">
        <v>1</v>
      </c>
      <c r="N603" s="22">
        <v>300</v>
      </c>
      <c r="O603" s="24">
        <f>M603 * N603</f>
        <v>300</v>
      </c>
      <c r="P603" s="16">
        <f>O603 * $S$3</f>
        <v>4.5</v>
      </c>
      <c r="Q603" s="16">
        <f>O603 * $S$4</f>
        <v>6</v>
      </c>
    </row>
    <row r="604" spans="1:17">
      <c r="A604" s="2">
        <v>603</v>
      </c>
      <c r="B604" s="4">
        <f t="shared" si="45"/>
        <v>16</v>
      </c>
      <c r="C604" s="4">
        <f t="shared" si="46"/>
        <v>7</v>
      </c>
      <c r="D604" s="4">
        <f t="shared" si="47"/>
        <v>2023</v>
      </c>
      <c r="E604" s="4" t="str">
        <f t="shared" si="48"/>
        <v>Sun</v>
      </c>
      <c r="F604" s="4" t="str">
        <f t="shared" si="49"/>
        <v>Jul</v>
      </c>
      <c r="G604" s="3">
        <v>45123</v>
      </c>
      <c r="H604" s="4" t="s">
        <v>240</v>
      </c>
      <c r="I604" s="4" t="s">
        <v>3</v>
      </c>
      <c r="J604" s="4" t="str" cm="1">
        <f t="array" ref="J604">_xlfn.IFS(K604&gt;=50, "Senior", K604&gt;=30, "Adult", K604&lt;30,"Young Adult")</f>
        <v>Adult</v>
      </c>
      <c r="K604" s="4">
        <v>37</v>
      </c>
      <c r="L604" s="4" t="s">
        <v>7</v>
      </c>
      <c r="M604" s="4">
        <v>3</v>
      </c>
      <c r="N604" s="22">
        <v>30</v>
      </c>
      <c r="O604" s="24">
        <f>M604 * N604</f>
        <v>90</v>
      </c>
      <c r="P604" s="16">
        <f>O604 * $S$3</f>
        <v>1.3499999999999999</v>
      </c>
      <c r="Q604" s="16">
        <f>O604 * $S$4</f>
        <v>1.8</v>
      </c>
    </row>
    <row r="605" spans="1:17">
      <c r="A605" s="2">
        <v>604</v>
      </c>
      <c r="B605" s="4">
        <f t="shared" si="45"/>
        <v>11</v>
      </c>
      <c r="C605" s="4">
        <f t="shared" si="46"/>
        <v>9</v>
      </c>
      <c r="D605" s="4">
        <f t="shared" si="47"/>
        <v>2023</v>
      </c>
      <c r="E605" s="4" t="str">
        <f t="shared" si="48"/>
        <v>Mon</v>
      </c>
      <c r="F605" s="4" t="str">
        <f t="shared" si="49"/>
        <v>Sep</v>
      </c>
      <c r="G605" s="3">
        <v>45180</v>
      </c>
      <c r="H605" s="4" t="s">
        <v>762</v>
      </c>
      <c r="I605" s="4" t="s">
        <v>3</v>
      </c>
      <c r="J605" s="4" t="str" cm="1">
        <f t="array" ref="J605">_xlfn.IFS(K605&gt;=50, "Senior", K605&gt;=30, "Adult", K605&lt;30,"Young Adult")</f>
        <v>Adult</v>
      </c>
      <c r="K605" s="4">
        <v>37</v>
      </c>
      <c r="L605" s="4" t="s">
        <v>8</v>
      </c>
      <c r="M605" s="4">
        <v>4</v>
      </c>
      <c r="N605" s="22">
        <v>50</v>
      </c>
      <c r="O605" s="24">
        <f>M605 * N605</f>
        <v>200</v>
      </c>
      <c r="P605" s="16">
        <f>O605 * $S$3</f>
        <v>3</v>
      </c>
      <c r="Q605" s="16">
        <f>O605 * $S$4</f>
        <v>4</v>
      </c>
    </row>
    <row r="606" spans="1:17">
      <c r="A606" s="2">
        <v>605</v>
      </c>
      <c r="B606" s="4">
        <f t="shared" si="45"/>
        <v>24</v>
      </c>
      <c r="C606" s="4">
        <f t="shared" si="46"/>
        <v>7</v>
      </c>
      <c r="D606" s="4">
        <f t="shared" si="47"/>
        <v>2023</v>
      </c>
      <c r="E606" s="4" t="str">
        <f t="shared" si="48"/>
        <v>Mon</v>
      </c>
      <c r="F606" s="4" t="str">
        <f t="shared" si="49"/>
        <v>Jul</v>
      </c>
      <c r="G606" s="3">
        <v>45131</v>
      </c>
      <c r="H606" s="4" t="s">
        <v>763</v>
      </c>
      <c r="I606" s="4" t="s">
        <v>4</v>
      </c>
      <c r="J606" s="4" t="str" cm="1">
        <f t="array" ref="J606">_xlfn.IFS(K606&gt;=50, "Senior", K606&gt;=30, "Adult", K606&lt;30,"Young Adult")</f>
        <v>Adult</v>
      </c>
      <c r="K606" s="4">
        <v>37</v>
      </c>
      <c r="L606" s="4" t="s">
        <v>8</v>
      </c>
      <c r="M606" s="4">
        <v>2</v>
      </c>
      <c r="N606" s="22">
        <v>500</v>
      </c>
      <c r="O606" s="24">
        <f>M606 * N606</f>
        <v>1000</v>
      </c>
      <c r="P606" s="16">
        <f>O606 * $S$3</f>
        <v>15</v>
      </c>
      <c r="Q606" s="16">
        <f>O606 * $S$4</f>
        <v>20</v>
      </c>
    </row>
    <row r="607" spans="1:17">
      <c r="A607" s="2">
        <v>606</v>
      </c>
      <c r="B607" s="4">
        <f t="shared" si="45"/>
        <v>5</v>
      </c>
      <c r="C607" s="4">
        <f t="shared" si="46"/>
        <v>5</v>
      </c>
      <c r="D607" s="4">
        <f t="shared" si="47"/>
        <v>2023</v>
      </c>
      <c r="E607" s="4" t="str">
        <f t="shared" si="48"/>
        <v>Fri</v>
      </c>
      <c r="F607" s="4" t="str">
        <f t="shared" si="49"/>
        <v>May</v>
      </c>
      <c r="G607" s="3">
        <v>45051</v>
      </c>
      <c r="H607" s="4" t="s">
        <v>764</v>
      </c>
      <c r="I607" s="4" t="s">
        <v>4</v>
      </c>
      <c r="J607" s="4" t="str" cm="1">
        <f t="array" ref="J607">_xlfn.IFS(K607&gt;=50, "Senior", K607&gt;=30, "Adult", K607&lt;30,"Young Adult")</f>
        <v>Adult</v>
      </c>
      <c r="K607" s="4">
        <v>37</v>
      </c>
      <c r="L607" s="4" t="s">
        <v>8</v>
      </c>
      <c r="M607" s="4">
        <v>1</v>
      </c>
      <c r="N607" s="22">
        <v>50</v>
      </c>
      <c r="O607" s="24">
        <f>M607 * N607</f>
        <v>50</v>
      </c>
      <c r="P607" s="16">
        <f>O607 * $S$3</f>
        <v>0.75</v>
      </c>
      <c r="Q607" s="16">
        <f>O607 * $S$4</f>
        <v>1</v>
      </c>
    </row>
    <row r="608" spans="1:17">
      <c r="A608" s="2">
        <v>607</v>
      </c>
      <c r="B608" s="4">
        <f t="shared" si="45"/>
        <v>17</v>
      </c>
      <c r="C608" s="4">
        <f t="shared" si="46"/>
        <v>3</v>
      </c>
      <c r="D608" s="4">
        <f t="shared" si="47"/>
        <v>2023</v>
      </c>
      <c r="E608" s="4" t="str">
        <f t="shared" si="48"/>
        <v>Fri</v>
      </c>
      <c r="F608" s="4" t="str">
        <f t="shared" si="49"/>
        <v>Mar</v>
      </c>
      <c r="G608" s="3">
        <v>45002</v>
      </c>
      <c r="H608" s="4" t="s">
        <v>765</v>
      </c>
      <c r="I608" s="4" t="s">
        <v>4</v>
      </c>
      <c r="J608" s="4" t="str" cm="1">
        <f t="array" ref="J608">_xlfn.IFS(K608&gt;=50, "Senior", K608&gt;=30, "Adult", K608&lt;30,"Young Adult")</f>
        <v>Adult</v>
      </c>
      <c r="K608" s="4">
        <v>37</v>
      </c>
      <c r="L608" s="4" t="s">
        <v>7</v>
      </c>
      <c r="M608" s="4">
        <v>3</v>
      </c>
      <c r="N608" s="22">
        <v>25</v>
      </c>
      <c r="O608" s="24">
        <f>M608 * N608</f>
        <v>75</v>
      </c>
      <c r="P608" s="16">
        <f>O608 * $S$3</f>
        <v>1.125</v>
      </c>
      <c r="Q608" s="16">
        <f>O608 * $S$4</f>
        <v>1.5</v>
      </c>
    </row>
    <row r="609" spans="1:17">
      <c r="A609" s="2">
        <v>608</v>
      </c>
      <c r="B609" s="4">
        <f t="shared" si="45"/>
        <v>2</v>
      </c>
      <c r="C609" s="4">
        <f t="shared" si="46"/>
        <v>12</v>
      </c>
      <c r="D609" s="4">
        <f t="shared" si="47"/>
        <v>2023</v>
      </c>
      <c r="E609" s="4" t="str">
        <f t="shared" si="48"/>
        <v>Sat</v>
      </c>
      <c r="F609" s="4" t="str">
        <f t="shared" si="49"/>
        <v>Dec</v>
      </c>
      <c r="G609" s="3">
        <v>45262</v>
      </c>
      <c r="H609" s="4" t="s">
        <v>766</v>
      </c>
      <c r="I609" s="4" t="s">
        <v>3</v>
      </c>
      <c r="J609" s="4" t="str" cm="1">
        <f t="array" ref="J609">_xlfn.IFS(K609&gt;=50, "Senior", K609&gt;=30, "Adult", K609&lt;30,"Young Adult")</f>
        <v>Adult</v>
      </c>
      <c r="K609" s="4">
        <v>37</v>
      </c>
      <c r="L609" s="4" t="s">
        <v>8</v>
      </c>
      <c r="M609" s="4">
        <v>3</v>
      </c>
      <c r="N609" s="22">
        <v>500</v>
      </c>
      <c r="O609" s="24">
        <f>M609 * N609</f>
        <v>1500</v>
      </c>
      <c r="P609" s="16">
        <f>O609 * $S$3</f>
        <v>22.5</v>
      </c>
      <c r="Q609" s="16">
        <f>O609 * $S$4</f>
        <v>30</v>
      </c>
    </row>
    <row r="610" spans="1:17">
      <c r="A610" s="2">
        <v>609</v>
      </c>
      <c r="B610" s="4">
        <f t="shared" si="45"/>
        <v>19</v>
      </c>
      <c r="C610" s="4">
        <f t="shared" si="46"/>
        <v>12</v>
      </c>
      <c r="D610" s="4">
        <f t="shared" si="47"/>
        <v>2023</v>
      </c>
      <c r="E610" s="4" t="str">
        <f t="shared" si="48"/>
        <v>Tue</v>
      </c>
      <c r="F610" s="4" t="str">
        <f t="shared" si="49"/>
        <v>Dec</v>
      </c>
      <c r="G610" s="3">
        <v>45279</v>
      </c>
      <c r="H610" s="4" t="s">
        <v>239</v>
      </c>
      <c r="I610" s="4" t="s">
        <v>3</v>
      </c>
      <c r="J610" s="4" t="str" cm="1">
        <f t="array" ref="J610">_xlfn.IFS(K610&gt;=50, "Senior", K610&gt;=30, "Adult", K610&lt;30,"Young Adult")</f>
        <v>Adult</v>
      </c>
      <c r="K610" s="4">
        <v>37</v>
      </c>
      <c r="L610" s="4" t="s">
        <v>7</v>
      </c>
      <c r="M610" s="4">
        <v>2</v>
      </c>
      <c r="N610" s="22">
        <v>50</v>
      </c>
      <c r="O610" s="24">
        <f>M610 * N610</f>
        <v>100</v>
      </c>
      <c r="P610" s="16">
        <f>O610 * $S$3</f>
        <v>1.5</v>
      </c>
      <c r="Q610" s="16">
        <f>O610 * $S$4</f>
        <v>2</v>
      </c>
    </row>
    <row r="611" spans="1:17">
      <c r="A611" s="2">
        <v>610</v>
      </c>
      <c r="B611" s="4">
        <f t="shared" si="45"/>
        <v>3</v>
      </c>
      <c r="C611" s="4">
        <f t="shared" si="46"/>
        <v>1</v>
      </c>
      <c r="D611" s="4">
        <f t="shared" si="47"/>
        <v>2023</v>
      </c>
      <c r="E611" s="4" t="str">
        <f t="shared" si="48"/>
        <v>Tue</v>
      </c>
      <c r="F611" s="4" t="str">
        <f t="shared" si="49"/>
        <v>Jan</v>
      </c>
      <c r="G611" s="3">
        <v>44929</v>
      </c>
      <c r="H611" s="4" t="s">
        <v>767</v>
      </c>
      <c r="I611" s="4" t="s">
        <v>3</v>
      </c>
      <c r="J611" s="4" t="str" cm="1">
        <f t="array" ref="J611">_xlfn.IFS(K611&gt;=50, "Senior", K611&gt;=30, "Adult", K611&lt;30,"Young Adult")</f>
        <v>Adult</v>
      </c>
      <c r="K611" s="4">
        <v>37</v>
      </c>
      <c r="L611" s="4" t="s">
        <v>6</v>
      </c>
      <c r="M611" s="4">
        <v>2</v>
      </c>
      <c r="N611" s="22">
        <v>300</v>
      </c>
      <c r="O611" s="24">
        <f>M611 * N611</f>
        <v>600</v>
      </c>
      <c r="P611" s="16">
        <f>O611 * $S$3</f>
        <v>9</v>
      </c>
      <c r="Q611" s="16">
        <f>O611 * $S$4</f>
        <v>12</v>
      </c>
    </row>
    <row r="612" spans="1:17">
      <c r="A612" s="2">
        <v>611</v>
      </c>
      <c r="B612" s="4">
        <f t="shared" si="45"/>
        <v>24</v>
      </c>
      <c r="C612" s="4">
        <f t="shared" si="46"/>
        <v>2</v>
      </c>
      <c r="D612" s="4">
        <f t="shared" si="47"/>
        <v>2023</v>
      </c>
      <c r="E612" s="4" t="str">
        <f t="shared" si="48"/>
        <v>Fri</v>
      </c>
      <c r="F612" s="4" t="str">
        <f t="shared" si="49"/>
        <v>Feb</v>
      </c>
      <c r="G612" s="3">
        <v>44981</v>
      </c>
      <c r="H612" s="4" t="s">
        <v>768</v>
      </c>
      <c r="I612" s="4" t="s">
        <v>4</v>
      </c>
      <c r="J612" s="4" t="str" cm="1">
        <f t="array" ref="J612">_xlfn.IFS(K612&gt;=50, "Senior", K612&gt;=30, "Adult", K612&lt;30,"Young Adult")</f>
        <v>Adult</v>
      </c>
      <c r="K612" s="4">
        <v>37</v>
      </c>
      <c r="L612" s="4" t="s">
        <v>6</v>
      </c>
      <c r="M612" s="4">
        <v>3</v>
      </c>
      <c r="N612" s="22">
        <v>500</v>
      </c>
      <c r="O612" s="24">
        <f>M612 * N612</f>
        <v>1500</v>
      </c>
      <c r="P612" s="16">
        <f>O612 * $S$3</f>
        <v>22.5</v>
      </c>
      <c r="Q612" s="16">
        <f>O612 * $S$4</f>
        <v>30</v>
      </c>
    </row>
    <row r="613" spans="1:17">
      <c r="A613" s="2">
        <v>612</v>
      </c>
      <c r="B613" s="4">
        <f t="shared" si="45"/>
        <v>6</v>
      </c>
      <c r="C613" s="4">
        <f t="shared" si="46"/>
        <v>8</v>
      </c>
      <c r="D613" s="4">
        <f t="shared" si="47"/>
        <v>2023</v>
      </c>
      <c r="E613" s="4" t="str">
        <f t="shared" si="48"/>
        <v>Sun</v>
      </c>
      <c r="F613" s="4" t="str">
        <f t="shared" si="49"/>
        <v>Aug</v>
      </c>
      <c r="G613" s="3">
        <v>45144</v>
      </c>
      <c r="H613" s="4" t="s">
        <v>769</v>
      </c>
      <c r="I613" s="4" t="s">
        <v>3</v>
      </c>
      <c r="J613" s="4" t="str" cm="1">
        <f t="array" ref="J613">_xlfn.IFS(K613&gt;=50, "Senior", K613&gt;=30, "Adult", K613&lt;30,"Young Adult")</f>
        <v>Adult</v>
      </c>
      <c r="K613" s="4">
        <v>36</v>
      </c>
      <c r="L613" s="4" t="s">
        <v>8</v>
      </c>
      <c r="M613" s="4">
        <v>1</v>
      </c>
      <c r="N613" s="22">
        <v>500</v>
      </c>
      <c r="O613" s="24">
        <f>M613 * N613</f>
        <v>500</v>
      </c>
      <c r="P613" s="16">
        <f>O613 * $S$3</f>
        <v>7.5</v>
      </c>
      <c r="Q613" s="16">
        <f>O613 * $S$4</f>
        <v>10</v>
      </c>
    </row>
    <row r="614" spans="1:17">
      <c r="A614" s="2">
        <v>613</v>
      </c>
      <c r="B614" s="4">
        <f t="shared" si="45"/>
        <v>23</v>
      </c>
      <c r="C614" s="4">
        <f t="shared" si="46"/>
        <v>4</v>
      </c>
      <c r="D614" s="4">
        <f t="shared" si="47"/>
        <v>2023</v>
      </c>
      <c r="E614" s="4" t="str">
        <f t="shared" si="48"/>
        <v>Sun</v>
      </c>
      <c r="F614" s="4" t="str">
        <f t="shared" si="49"/>
        <v>Apr</v>
      </c>
      <c r="G614" s="3">
        <v>45039</v>
      </c>
      <c r="H614" s="4" t="s">
        <v>770</v>
      </c>
      <c r="I614" s="4" t="s">
        <v>3</v>
      </c>
      <c r="J614" s="4" t="str" cm="1">
        <f t="array" ref="J614">_xlfn.IFS(K614&gt;=50, "Senior", K614&gt;=30, "Adult", K614&lt;30,"Young Adult")</f>
        <v>Adult</v>
      </c>
      <c r="K614" s="4">
        <v>36</v>
      </c>
      <c r="L614" s="4" t="s">
        <v>7</v>
      </c>
      <c r="M614" s="4">
        <v>3</v>
      </c>
      <c r="N614" s="22">
        <v>30</v>
      </c>
      <c r="O614" s="24">
        <f>M614 * N614</f>
        <v>90</v>
      </c>
      <c r="P614" s="16">
        <f>O614 * $S$3</f>
        <v>1.3499999999999999</v>
      </c>
      <c r="Q614" s="16">
        <f>O614 * $S$4</f>
        <v>1.8</v>
      </c>
    </row>
    <row r="615" spans="1:17">
      <c r="A615" s="2">
        <v>614</v>
      </c>
      <c r="B615" s="4">
        <f t="shared" si="45"/>
        <v>1</v>
      </c>
      <c r="C615" s="4">
        <f t="shared" si="46"/>
        <v>4</v>
      </c>
      <c r="D615" s="4">
        <f t="shared" si="47"/>
        <v>2023</v>
      </c>
      <c r="E615" s="4" t="str">
        <f t="shared" si="48"/>
        <v>Sat</v>
      </c>
      <c r="F615" s="4" t="str">
        <f t="shared" si="49"/>
        <v>Apr</v>
      </c>
      <c r="G615" s="3">
        <v>45017</v>
      </c>
      <c r="H615" s="4" t="s">
        <v>107</v>
      </c>
      <c r="I615" s="4" t="s">
        <v>3</v>
      </c>
      <c r="J615" s="4" t="str" cm="1">
        <f t="array" ref="J615">_xlfn.IFS(K615&gt;=50, "Senior", K615&gt;=30, "Adult", K615&lt;30,"Young Adult")</f>
        <v>Adult</v>
      </c>
      <c r="K615" s="4">
        <v>36</v>
      </c>
      <c r="L615" s="4" t="s">
        <v>6</v>
      </c>
      <c r="M615" s="4">
        <v>4</v>
      </c>
      <c r="N615" s="22">
        <v>300</v>
      </c>
      <c r="O615" s="24">
        <f>M615 * N615</f>
        <v>1200</v>
      </c>
      <c r="P615" s="16">
        <f>O615 * $S$3</f>
        <v>18</v>
      </c>
      <c r="Q615" s="16">
        <f>O615 * $S$4</f>
        <v>24</v>
      </c>
    </row>
    <row r="616" spans="1:17">
      <c r="A616" s="2">
        <v>615</v>
      </c>
      <c r="B616" s="4">
        <f t="shared" si="45"/>
        <v>23</v>
      </c>
      <c r="C616" s="4">
        <f t="shared" si="46"/>
        <v>12</v>
      </c>
      <c r="D616" s="4">
        <f t="shared" si="47"/>
        <v>2023</v>
      </c>
      <c r="E616" s="4" t="str">
        <f t="shared" si="48"/>
        <v>Sat</v>
      </c>
      <c r="F616" s="4" t="str">
        <f t="shared" si="49"/>
        <v>Dec</v>
      </c>
      <c r="G616" s="3">
        <v>45283</v>
      </c>
      <c r="H616" s="4" t="s">
        <v>771</v>
      </c>
      <c r="I616" s="4" t="s">
        <v>3</v>
      </c>
      <c r="J616" s="4" t="str" cm="1">
        <f t="array" ref="J616">_xlfn.IFS(K616&gt;=50, "Senior", K616&gt;=30, "Adult", K616&lt;30,"Young Adult")</f>
        <v>Adult</v>
      </c>
      <c r="K616" s="4">
        <v>36</v>
      </c>
      <c r="L616" s="4" t="s">
        <v>7</v>
      </c>
      <c r="M616" s="4">
        <v>4</v>
      </c>
      <c r="N616" s="22">
        <v>25</v>
      </c>
      <c r="O616" s="24">
        <f>M616 * N616</f>
        <v>100</v>
      </c>
      <c r="P616" s="16">
        <f>O616 * $S$3</f>
        <v>1.5</v>
      </c>
      <c r="Q616" s="16">
        <f>O616 * $S$4</f>
        <v>2</v>
      </c>
    </row>
    <row r="617" spans="1:17">
      <c r="A617" s="2">
        <v>616</v>
      </c>
      <c r="B617" s="4">
        <f t="shared" si="45"/>
        <v>23</v>
      </c>
      <c r="C617" s="4">
        <f t="shared" si="46"/>
        <v>9</v>
      </c>
      <c r="D617" s="4">
        <f t="shared" si="47"/>
        <v>2023</v>
      </c>
      <c r="E617" s="4" t="str">
        <f t="shared" si="48"/>
        <v>Sat</v>
      </c>
      <c r="F617" s="4" t="str">
        <f t="shared" si="49"/>
        <v>Sep</v>
      </c>
      <c r="G617" s="3">
        <v>45192</v>
      </c>
      <c r="H617" s="4" t="s">
        <v>237</v>
      </c>
      <c r="I617" s="4" t="s">
        <v>4</v>
      </c>
      <c r="J617" s="4" t="str" cm="1">
        <f t="array" ref="J617">_xlfn.IFS(K617&gt;=50, "Senior", K617&gt;=30, "Adult", K617&lt;30,"Young Adult")</f>
        <v>Adult</v>
      </c>
      <c r="K617" s="4">
        <v>36</v>
      </c>
      <c r="L617" s="4" t="s">
        <v>7</v>
      </c>
      <c r="M617" s="4">
        <v>2</v>
      </c>
      <c r="N617" s="22">
        <v>50</v>
      </c>
      <c r="O617" s="24">
        <f>M617 * N617</f>
        <v>100</v>
      </c>
      <c r="P617" s="16">
        <f>O617 * $S$3</f>
        <v>1.5</v>
      </c>
      <c r="Q617" s="16">
        <f>O617 * $S$4</f>
        <v>2</v>
      </c>
    </row>
    <row r="618" spans="1:17">
      <c r="A618" s="2">
        <v>617</v>
      </c>
      <c r="B618" s="4">
        <f t="shared" si="45"/>
        <v>26</v>
      </c>
      <c r="C618" s="4">
        <f t="shared" si="46"/>
        <v>8</v>
      </c>
      <c r="D618" s="4">
        <f t="shared" si="47"/>
        <v>2023</v>
      </c>
      <c r="E618" s="4" t="str">
        <f t="shared" si="48"/>
        <v>Sat</v>
      </c>
      <c r="F618" s="4" t="str">
        <f t="shared" si="49"/>
        <v>Aug</v>
      </c>
      <c r="G618" s="3">
        <v>45164</v>
      </c>
      <c r="H618" s="4" t="s">
        <v>772</v>
      </c>
      <c r="I618" s="4" t="s">
        <v>4</v>
      </c>
      <c r="J618" s="4" t="str" cm="1">
        <f t="array" ref="J618">_xlfn.IFS(K618&gt;=50, "Senior", K618&gt;=30, "Adult", K618&lt;30,"Young Adult")</f>
        <v>Adult</v>
      </c>
      <c r="K618" s="4">
        <v>36</v>
      </c>
      <c r="L618" s="4" t="s">
        <v>8</v>
      </c>
      <c r="M618" s="4">
        <v>1</v>
      </c>
      <c r="N618" s="22">
        <v>30</v>
      </c>
      <c r="O618" s="24">
        <f>M618 * N618</f>
        <v>30</v>
      </c>
      <c r="P618" s="16">
        <f>O618 * $S$3</f>
        <v>0.44999999999999996</v>
      </c>
      <c r="Q618" s="16">
        <f>O618 * $S$4</f>
        <v>0.6</v>
      </c>
    </row>
    <row r="619" spans="1:17">
      <c r="A619" s="2">
        <v>618</v>
      </c>
      <c r="B619" s="4">
        <f t="shared" si="45"/>
        <v>26</v>
      </c>
      <c r="C619" s="4">
        <f t="shared" si="46"/>
        <v>1</v>
      </c>
      <c r="D619" s="4">
        <f t="shared" si="47"/>
        <v>2023</v>
      </c>
      <c r="E619" s="4" t="str">
        <f t="shared" si="48"/>
        <v>Thu</v>
      </c>
      <c r="F619" s="4" t="str">
        <f t="shared" si="49"/>
        <v>Jan</v>
      </c>
      <c r="G619" s="3">
        <v>44952</v>
      </c>
      <c r="H619" s="4" t="s">
        <v>773</v>
      </c>
      <c r="I619" s="4" t="s">
        <v>3</v>
      </c>
      <c r="J619" s="4" t="str" cm="1">
        <f t="array" ref="J619">_xlfn.IFS(K619&gt;=50, "Senior", K619&gt;=30, "Adult", K619&lt;30,"Young Adult")</f>
        <v>Adult</v>
      </c>
      <c r="K619" s="4">
        <v>36</v>
      </c>
      <c r="L619" s="4" t="s">
        <v>6</v>
      </c>
      <c r="M619" s="4">
        <v>1</v>
      </c>
      <c r="N619" s="22">
        <v>50</v>
      </c>
      <c r="O619" s="24">
        <f>M619 * N619</f>
        <v>50</v>
      </c>
      <c r="P619" s="16">
        <f>O619 * $S$3</f>
        <v>0.75</v>
      </c>
      <c r="Q619" s="16">
        <f>O619 * $S$4</f>
        <v>1</v>
      </c>
    </row>
    <row r="620" spans="1:17">
      <c r="A620" s="2">
        <v>619</v>
      </c>
      <c r="B620" s="4">
        <f t="shared" si="45"/>
        <v>13</v>
      </c>
      <c r="C620" s="4">
        <f t="shared" si="46"/>
        <v>10</v>
      </c>
      <c r="D620" s="4">
        <f t="shared" si="47"/>
        <v>2023</v>
      </c>
      <c r="E620" s="4" t="str">
        <f t="shared" si="48"/>
        <v>Fri</v>
      </c>
      <c r="F620" s="4" t="str">
        <f t="shared" si="49"/>
        <v>Oct</v>
      </c>
      <c r="G620" s="3">
        <v>45212</v>
      </c>
      <c r="H620" s="4" t="s">
        <v>774</v>
      </c>
      <c r="I620" s="4" t="s">
        <v>4</v>
      </c>
      <c r="J620" s="4" t="str" cm="1">
        <f t="array" ref="J620">_xlfn.IFS(K620&gt;=50, "Senior", K620&gt;=30, "Adult", K620&lt;30,"Young Adult")</f>
        <v>Adult</v>
      </c>
      <c r="K620" s="4">
        <v>36</v>
      </c>
      <c r="L620" s="4" t="s">
        <v>8</v>
      </c>
      <c r="M620" s="4">
        <v>4</v>
      </c>
      <c r="N620" s="22">
        <v>25</v>
      </c>
      <c r="O620" s="24">
        <f>M620 * N620</f>
        <v>100</v>
      </c>
      <c r="P620" s="16">
        <f>O620 * $S$3</f>
        <v>1.5</v>
      </c>
      <c r="Q620" s="16">
        <f>O620 * $S$4</f>
        <v>2</v>
      </c>
    </row>
    <row r="621" spans="1:17">
      <c r="A621" s="2">
        <v>620</v>
      </c>
      <c r="B621" s="4">
        <f t="shared" si="45"/>
        <v>8</v>
      </c>
      <c r="C621" s="4">
        <f t="shared" si="46"/>
        <v>5</v>
      </c>
      <c r="D621" s="4">
        <f t="shared" si="47"/>
        <v>2023</v>
      </c>
      <c r="E621" s="4" t="str">
        <f t="shared" si="48"/>
        <v>Mon</v>
      </c>
      <c r="F621" s="4" t="str">
        <f t="shared" si="49"/>
        <v>May</v>
      </c>
      <c r="G621" s="3">
        <v>45054</v>
      </c>
      <c r="H621" s="4" t="s">
        <v>775</v>
      </c>
      <c r="I621" s="4" t="s">
        <v>4</v>
      </c>
      <c r="J621" s="4" t="str" cm="1">
        <f t="array" ref="J621">_xlfn.IFS(K621&gt;=50, "Senior", K621&gt;=30, "Adult", K621&lt;30,"Young Adult")</f>
        <v>Adult</v>
      </c>
      <c r="K621" s="4">
        <v>36</v>
      </c>
      <c r="L621" s="4" t="s">
        <v>8</v>
      </c>
      <c r="M621" s="4">
        <v>3</v>
      </c>
      <c r="N621" s="22">
        <v>25</v>
      </c>
      <c r="O621" s="24">
        <f>M621 * N621</f>
        <v>75</v>
      </c>
      <c r="P621" s="16">
        <f>O621 * $S$3</f>
        <v>1.125</v>
      </c>
      <c r="Q621" s="16">
        <f>O621 * $S$4</f>
        <v>1.5</v>
      </c>
    </row>
    <row r="622" spans="1:17">
      <c r="A622" s="2">
        <v>621</v>
      </c>
      <c r="B622" s="4">
        <f t="shared" si="45"/>
        <v>4</v>
      </c>
      <c r="C622" s="4">
        <f t="shared" si="46"/>
        <v>3</v>
      </c>
      <c r="D622" s="4">
        <f t="shared" si="47"/>
        <v>2023</v>
      </c>
      <c r="E622" s="4" t="str">
        <f t="shared" si="48"/>
        <v>Sat</v>
      </c>
      <c r="F622" s="4" t="str">
        <f t="shared" si="49"/>
        <v>Mar</v>
      </c>
      <c r="G622" s="3">
        <v>44989</v>
      </c>
      <c r="H622" s="4" t="s">
        <v>106</v>
      </c>
      <c r="I622" s="4" t="s">
        <v>3</v>
      </c>
      <c r="J622" s="4" t="str" cm="1">
        <f t="array" ref="J622">_xlfn.IFS(K622&gt;=50, "Senior", K622&gt;=30, "Adult", K622&lt;30,"Young Adult")</f>
        <v>Adult</v>
      </c>
      <c r="K622" s="4">
        <v>36</v>
      </c>
      <c r="L622" s="4" t="s">
        <v>6</v>
      </c>
      <c r="M622" s="4">
        <v>2</v>
      </c>
      <c r="N622" s="22">
        <v>500</v>
      </c>
      <c r="O622" s="24">
        <f>M622 * N622</f>
        <v>1000</v>
      </c>
      <c r="P622" s="16">
        <f>O622 * $S$3</f>
        <v>15</v>
      </c>
      <c r="Q622" s="16">
        <f>O622 * $S$4</f>
        <v>20</v>
      </c>
    </row>
    <row r="623" spans="1:17">
      <c r="A623" s="2">
        <v>622</v>
      </c>
      <c r="B623" s="4">
        <f t="shared" si="45"/>
        <v>22</v>
      </c>
      <c r="C623" s="4">
        <f t="shared" si="46"/>
        <v>8</v>
      </c>
      <c r="D623" s="4">
        <f t="shared" si="47"/>
        <v>2023</v>
      </c>
      <c r="E623" s="4" t="str">
        <f t="shared" si="48"/>
        <v>Tue</v>
      </c>
      <c r="F623" s="4" t="str">
        <f t="shared" si="49"/>
        <v>Aug</v>
      </c>
      <c r="G623" s="3">
        <v>45160</v>
      </c>
      <c r="H623" s="4" t="s">
        <v>105</v>
      </c>
      <c r="I623" s="4" t="s">
        <v>3</v>
      </c>
      <c r="J623" s="4" t="str" cm="1">
        <f t="array" ref="J623">_xlfn.IFS(K623&gt;=50, "Senior", K623&gt;=30, "Adult", K623&lt;30,"Young Adult")</f>
        <v>Adult</v>
      </c>
      <c r="K623" s="4">
        <v>36</v>
      </c>
      <c r="L623" s="4" t="s">
        <v>6</v>
      </c>
      <c r="M623" s="4">
        <v>3</v>
      </c>
      <c r="N623" s="22">
        <v>25</v>
      </c>
      <c r="O623" s="24">
        <f>M623 * N623</f>
        <v>75</v>
      </c>
      <c r="P623" s="16">
        <f>O623 * $S$3</f>
        <v>1.125</v>
      </c>
      <c r="Q623" s="16">
        <f>O623 * $S$4</f>
        <v>1.5</v>
      </c>
    </row>
    <row r="624" spans="1:17">
      <c r="A624" s="2">
        <v>623</v>
      </c>
      <c r="B624" s="4">
        <f t="shared" si="45"/>
        <v>10</v>
      </c>
      <c r="C624" s="4">
        <f t="shared" si="46"/>
        <v>3</v>
      </c>
      <c r="D624" s="4">
        <f t="shared" si="47"/>
        <v>2023</v>
      </c>
      <c r="E624" s="4" t="str">
        <f t="shared" si="48"/>
        <v>Fri</v>
      </c>
      <c r="F624" s="4" t="str">
        <f t="shared" si="49"/>
        <v>Mar</v>
      </c>
      <c r="G624" s="3">
        <v>44995</v>
      </c>
      <c r="H624" s="4" t="s">
        <v>236</v>
      </c>
      <c r="I624" s="4" t="s">
        <v>4</v>
      </c>
      <c r="J624" s="4" t="str" cm="1">
        <f t="array" ref="J624">_xlfn.IFS(K624&gt;=50, "Senior", K624&gt;=30, "Adult", K624&lt;30,"Young Adult")</f>
        <v>Adult</v>
      </c>
      <c r="K624" s="4">
        <v>36</v>
      </c>
      <c r="L624" s="4" t="s">
        <v>7</v>
      </c>
      <c r="M624" s="4">
        <v>3</v>
      </c>
      <c r="N624" s="22">
        <v>50</v>
      </c>
      <c r="O624" s="24">
        <f>M624 * N624</f>
        <v>150</v>
      </c>
      <c r="P624" s="16">
        <f>O624 * $S$3</f>
        <v>2.25</v>
      </c>
      <c r="Q624" s="16">
        <f>O624 * $S$4</f>
        <v>3</v>
      </c>
    </row>
    <row r="625" spans="1:17">
      <c r="A625" s="2">
        <v>624</v>
      </c>
      <c r="B625" s="4">
        <f t="shared" si="45"/>
        <v>26</v>
      </c>
      <c r="C625" s="4">
        <f t="shared" si="46"/>
        <v>8</v>
      </c>
      <c r="D625" s="4">
        <f t="shared" si="47"/>
        <v>2023</v>
      </c>
      <c r="E625" s="4" t="str">
        <f t="shared" si="48"/>
        <v>Sat</v>
      </c>
      <c r="F625" s="4" t="str">
        <f t="shared" si="49"/>
        <v>Aug</v>
      </c>
      <c r="G625" s="3">
        <v>45164</v>
      </c>
      <c r="H625" s="4" t="s">
        <v>103</v>
      </c>
      <c r="I625" s="4" t="s">
        <v>3</v>
      </c>
      <c r="J625" s="4" t="str" cm="1">
        <f t="array" ref="J625">_xlfn.IFS(K625&gt;=50, "Senior", K625&gt;=30, "Adult", K625&lt;30,"Young Adult")</f>
        <v>Adult</v>
      </c>
      <c r="K625" s="4">
        <v>36</v>
      </c>
      <c r="L625" s="4" t="s">
        <v>6</v>
      </c>
      <c r="M625" s="4">
        <v>3</v>
      </c>
      <c r="N625" s="22">
        <v>300</v>
      </c>
      <c r="O625" s="24">
        <f>M625 * N625</f>
        <v>900</v>
      </c>
      <c r="P625" s="16">
        <f>O625 * $S$3</f>
        <v>13.5</v>
      </c>
      <c r="Q625" s="16">
        <f>O625 * $S$4</f>
        <v>18</v>
      </c>
    </row>
    <row r="626" spans="1:17">
      <c r="A626" s="2">
        <v>625</v>
      </c>
      <c r="B626" s="4">
        <f t="shared" si="45"/>
        <v>8</v>
      </c>
      <c r="C626" s="4">
        <f t="shared" si="46"/>
        <v>12</v>
      </c>
      <c r="D626" s="4">
        <f t="shared" si="47"/>
        <v>2023</v>
      </c>
      <c r="E626" s="4" t="str">
        <f t="shared" si="48"/>
        <v>Fri</v>
      </c>
      <c r="F626" s="4" t="str">
        <f t="shared" si="49"/>
        <v>Dec</v>
      </c>
      <c r="G626" s="3">
        <v>45268</v>
      </c>
      <c r="H626" s="4" t="s">
        <v>235</v>
      </c>
      <c r="I626" s="4" t="s">
        <v>4</v>
      </c>
      <c r="J626" s="4" t="str" cm="1">
        <f t="array" ref="J626">_xlfn.IFS(K626&gt;=50, "Senior", K626&gt;=30, "Adult", K626&lt;30,"Young Adult")</f>
        <v>Adult</v>
      </c>
      <c r="K626" s="4">
        <v>36</v>
      </c>
      <c r="L626" s="4" t="s">
        <v>7</v>
      </c>
      <c r="M626" s="4">
        <v>1</v>
      </c>
      <c r="N626" s="22">
        <v>300</v>
      </c>
      <c r="O626" s="24">
        <f>M626 * N626</f>
        <v>300</v>
      </c>
      <c r="P626" s="16">
        <f>O626 * $S$3</f>
        <v>4.5</v>
      </c>
      <c r="Q626" s="16">
        <f>O626 * $S$4</f>
        <v>6</v>
      </c>
    </row>
    <row r="627" spans="1:17">
      <c r="A627" s="2">
        <v>626</v>
      </c>
      <c r="B627" s="4">
        <f t="shared" si="45"/>
        <v>29</v>
      </c>
      <c r="C627" s="4">
        <f t="shared" si="46"/>
        <v>9</v>
      </c>
      <c r="D627" s="4">
        <f t="shared" si="47"/>
        <v>2023</v>
      </c>
      <c r="E627" s="4" t="str">
        <f t="shared" si="48"/>
        <v>Fri</v>
      </c>
      <c r="F627" s="4" t="str">
        <f t="shared" si="49"/>
        <v>Sep</v>
      </c>
      <c r="G627" s="3">
        <v>45198</v>
      </c>
      <c r="H627" s="4" t="s">
        <v>776</v>
      </c>
      <c r="I627" s="4" t="s">
        <v>3</v>
      </c>
      <c r="J627" s="4" t="str" cm="1">
        <f t="array" ref="J627">_xlfn.IFS(K627&gt;=50, "Senior", K627&gt;=30, "Adult", K627&lt;30,"Young Adult")</f>
        <v>Adult</v>
      </c>
      <c r="K627" s="4">
        <v>36</v>
      </c>
      <c r="L627" s="4" t="s">
        <v>7</v>
      </c>
      <c r="M627" s="4">
        <v>4</v>
      </c>
      <c r="N627" s="22">
        <v>500</v>
      </c>
      <c r="O627" s="24">
        <f>M627 * N627</f>
        <v>2000</v>
      </c>
      <c r="P627" s="16">
        <f>O627 * $S$3</f>
        <v>30</v>
      </c>
      <c r="Q627" s="16">
        <f>O627 * $S$4</f>
        <v>40</v>
      </c>
    </row>
    <row r="628" spans="1:17">
      <c r="A628" s="2">
        <v>627</v>
      </c>
      <c r="B628" s="4">
        <f t="shared" si="45"/>
        <v>14</v>
      </c>
      <c r="C628" s="4">
        <f t="shared" si="46"/>
        <v>10</v>
      </c>
      <c r="D628" s="4">
        <f t="shared" si="47"/>
        <v>2023</v>
      </c>
      <c r="E628" s="4" t="str">
        <f t="shared" si="48"/>
        <v>Sat</v>
      </c>
      <c r="F628" s="4" t="str">
        <f t="shared" si="49"/>
        <v>Oct</v>
      </c>
      <c r="G628" s="3">
        <v>45213</v>
      </c>
      <c r="H628" s="4" t="s">
        <v>777</v>
      </c>
      <c r="I628" s="4" t="s">
        <v>4</v>
      </c>
      <c r="J628" s="4" t="str" cm="1">
        <f t="array" ref="J628">_xlfn.IFS(K628&gt;=50, "Senior", K628&gt;=30, "Adult", K628&lt;30,"Young Adult")</f>
        <v>Adult</v>
      </c>
      <c r="K628" s="4">
        <v>35</v>
      </c>
      <c r="L628" s="4" t="s">
        <v>7</v>
      </c>
      <c r="M628" s="4">
        <v>1</v>
      </c>
      <c r="N628" s="22">
        <v>50</v>
      </c>
      <c r="O628" s="24">
        <f>M628 * N628</f>
        <v>50</v>
      </c>
      <c r="P628" s="16">
        <f>O628 * $S$3</f>
        <v>0.75</v>
      </c>
      <c r="Q628" s="16">
        <f>O628 * $S$4</f>
        <v>1</v>
      </c>
    </row>
    <row r="629" spans="1:17">
      <c r="A629" s="2">
        <v>628</v>
      </c>
      <c r="B629" s="4">
        <f t="shared" si="45"/>
        <v>1</v>
      </c>
      <c r="C629" s="4">
        <f t="shared" si="46"/>
        <v>11</v>
      </c>
      <c r="D629" s="4">
        <f t="shared" si="47"/>
        <v>2023</v>
      </c>
      <c r="E629" s="4" t="str">
        <f t="shared" si="48"/>
        <v>Wed</v>
      </c>
      <c r="F629" s="4" t="str">
        <f t="shared" si="49"/>
        <v>Nov</v>
      </c>
      <c r="G629" s="3">
        <v>45231</v>
      </c>
      <c r="H629" s="4" t="s">
        <v>778</v>
      </c>
      <c r="I629" s="4" t="s">
        <v>3</v>
      </c>
      <c r="J629" s="4" t="str" cm="1">
        <f t="array" ref="J629">_xlfn.IFS(K629&gt;=50, "Senior", K629&gt;=30, "Adult", K629&lt;30,"Young Adult")</f>
        <v>Adult</v>
      </c>
      <c r="K629" s="4">
        <v>35</v>
      </c>
      <c r="L629" s="4" t="s">
        <v>6</v>
      </c>
      <c r="M629" s="4">
        <v>4</v>
      </c>
      <c r="N629" s="22">
        <v>50</v>
      </c>
      <c r="O629" s="24">
        <f>M629 * N629</f>
        <v>200</v>
      </c>
      <c r="P629" s="16">
        <f>O629 * $S$3</f>
        <v>3</v>
      </c>
      <c r="Q629" s="16">
        <f>O629 * $S$4</f>
        <v>4</v>
      </c>
    </row>
    <row r="630" spans="1:17">
      <c r="A630" s="2">
        <v>629</v>
      </c>
      <c r="B630" s="4">
        <f t="shared" si="45"/>
        <v>12</v>
      </c>
      <c r="C630" s="4">
        <f t="shared" si="46"/>
        <v>6</v>
      </c>
      <c r="D630" s="4">
        <f t="shared" si="47"/>
        <v>2023</v>
      </c>
      <c r="E630" s="4" t="str">
        <f t="shared" si="48"/>
        <v>Mon</v>
      </c>
      <c r="F630" s="4" t="str">
        <f t="shared" si="49"/>
        <v>Jun</v>
      </c>
      <c r="G630" s="3">
        <v>45089</v>
      </c>
      <c r="H630" s="4" t="s">
        <v>779</v>
      </c>
      <c r="I630" s="4" t="s">
        <v>4</v>
      </c>
      <c r="J630" s="4" t="str" cm="1">
        <f t="array" ref="J630">_xlfn.IFS(K630&gt;=50, "Senior", K630&gt;=30, "Adult", K630&lt;30,"Young Adult")</f>
        <v>Adult</v>
      </c>
      <c r="K630" s="4">
        <v>35</v>
      </c>
      <c r="L630" s="4" t="s">
        <v>8</v>
      </c>
      <c r="M630" s="4">
        <v>2</v>
      </c>
      <c r="N630" s="22">
        <v>25</v>
      </c>
      <c r="O630" s="24">
        <f>M630 * N630</f>
        <v>50</v>
      </c>
      <c r="P630" s="16">
        <f>O630 * $S$3</f>
        <v>0.75</v>
      </c>
      <c r="Q630" s="16">
        <f>O630 * $S$4</f>
        <v>1</v>
      </c>
    </row>
    <row r="631" spans="1:17">
      <c r="A631" s="2">
        <v>630</v>
      </c>
      <c r="B631" s="4">
        <f t="shared" si="45"/>
        <v>15</v>
      </c>
      <c r="C631" s="4">
        <f t="shared" si="46"/>
        <v>8</v>
      </c>
      <c r="D631" s="4">
        <f t="shared" si="47"/>
        <v>2023</v>
      </c>
      <c r="E631" s="4" t="str">
        <f t="shared" si="48"/>
        <v>Tue</v>
      </c>
      <c r="F631" s="4" t="str">
        <f t="shared" si="49"/>
        <v>Aug</v>
      </c>
      <c r="G631" s="3">
        <v>45153</v>
      </c>
      <c r="H631" s="4" t="s">
        <v>234</v>
      </c>
      <c r="I631" s="4" t="s">
        <v>4</v>
      </c>
      <c r="J631" s="4" t="str" cm="1">
        <f t="array" ref="J631">_xlfn.IFS(K631&gt;=50, "Senior", K631&gt;=30, "Adult", K631&lt;30,"Young Adult")</f>
        <v>Adult</v>
      </c>
      <c r="K631" s="4">
        <v>35</v>
      </c>
      <c r="L631" s="4" t="s">
        <v>7</v>
      </c>
      <c r="M631" s="4">
        <v>2</v>
      </c>
      <c r="N631" s="22">
        <v>50</v>
      </c>
      <c r="O631" s="24">
        <f>M631 * N631</f>
        <v>100</v>
      </c>
      <c r="P631" s="16">
        <f>O631 * $S$3</f>
        <v>1.5</v>
      </c>
      <c r="Q631" s="16">
        <f>O631 * $S$4</f>
        <v>2</v>
      </c>
    </row>
    <row r="632" spans="1:17">
      <c r="A632" s="2">
        <v>631</v>
      </c>
      <c r="B632" s="4">
        <f t="shared" si="45"/>
        <v>10</v>
      </c>
      <c r="C632" s="4">
        <f t="shared" si="46"/>
        <v>11</v>
      </c>
      <c r="D632" s="4">
        <f t="shared" si="47"/>
        <v>2023</v>
      </c>
      <c r="E632" s="4" t="str">
        <f t="shared" si="48"/>
        <v>Fri</v>
      </c>
      <c r="F632" s="4" t="str">
        <f t="shared" si="49"/>
        <v>Nov</v>
      </c>
      <c r="G632" s="3">
        <v>45240</v>
      </c>
      <c r="H632" s="4" t="s">
        <v>780</v>
      </c>
      <c r="I632" s="4" t="s">
        <v>4</v>
      </c>
      <c r="J632" s="4" t="str" cm="1">
        <f t="array" ref="J632">_xlfn.IFS(K632&gt;=50, "Senior", K632&gt;=30, "Adult", K632&lt;30,"Young Adult")</f>
        <v>Adult</v>
      </c>
      <c r="K632" s="4">
        <v>35</v>
      </c>
      <c r="L632" s="4" t="s">
        <v>8</v>
      </c>
      <c r="M632" s="4">
        <v>3</v>
      </c>
      <c r="N632" s="22">
        <v>30</v>
      </c>
      <c r="O632" s="24">
        <f>M632 * N632</f>
        <v>90</v>
      </c>
      <c r="P632" s="16">
        <f>O632 * $S$3</f>
        <v>1.3499999999999999</v>
      </c>
      <c r="Q632" s="16">
        <f>O632 * $S$4</f>
        <v>1.8</v>
      </c>
    </row>
    <row r="633" spans="1:17">
      <c r="A633" s="2">
        <v>632</v>
      </c>
      <c r="B633" s="4">
        <f t="shared" si="45"/>
        <v>16</v>
      </c>
      <c r="C633" s="4">
        <f t="shared" si="46"/>
        <v>9</v>
      </c>
      <c r="D633" s="4">
        <f t="shared" si="47"/>
        <v>2023</v>
      </c>
      <c r="E633" s="4" t="str">
        <f t="shared" si="48"/>
        <v>Sat</v>
      </c>
      <c r="F633" s="4" t="str">
        <f t="shared" si="49"/>
        <v>Sep</v>
      </c>
      <c r="G633" s="3">
        <v>45185</v>
      </c>
      <c r="H633" s="4" t="s">
        <v>781</v>
      </c>
      <c r="I633" s="4" t="s">
        <v>3</v>
      </c>
      <c r="J633" s="4" t="str" cm="1">
        <f t="array" ref="J633">_xlfn.IFS(K633&gt;=50, "Senior", K633&gt;=30, "Adult", K633&lt;30,"Young Adult")</f>
        <v>Adult</v>
      </c>
      <c r="K633" s="4">
        <v>35</v>
      </c>
      <c r="L633" s="4" t="s">
        <v>8</v>
      </c>
      <c r="M633" s="4">
        <v>4</v>
      </c>
      <c r="N633" s="22">
        <v>25</v>
      </c>
      <c r="O633" s="24">
        <f>M633 * N633</f>
        <v>100</v>
      </c>
      <c r="P633" s="16">
        <f>O633 * $S$3</f>
        <v>1.5</v>
      </c>
      <c r="Q633" s="16">
        <f>O633 * $S$4</f>
        <v>2</v>
      </c>
    </row>
    <row r="634" spans="1:17">
      <c r="A634" s="2">
        <v>633</v>
      </c>
      <c r="B634" s="4">
        <f t="shared" si="45"/>
        <v>7</v>
      </c>
      <c r="C634" s="4">
        <f t="shared" si="46"/>
        <v>8</v>
      </c>
      <c r="D634" s="4">
        <f t="shared" si="47"/>
        <v>2023</v>
      </c>
      <c r="E634" s="4" t="str">
        <f t="shared" si="48"/>
        <v>Mon</v>
      </c>
      <c r="F634" s="4" t="str">
        <f t="shared" si="49"/>
        <v>Aug</v>
      </c>
      <c r="G634" s="3">
        <v>45145</v>
      </c>
      <c r="H634" s="4" t="s">
        <v>102</v>
      </c>
      <c r="I634" s="4" t="s">
        <v>4</v>
      </c>
      <c r="J634" s="4" t="str" cm="1">
        <f t="array" ref="J634">_xlfn.IFS(K634&gt;=50, "Senior", K634&gt;=30, "Adult", K634&lt;30,"Young Adult")</f>
        <v>Adult</v>
      </c>
      <c r="K634" s="4">
        <v>35</v>
      </c>
      <c r="L634" s="4" t="s">
        <v>6</v>
      </c>
      <c r="M634" s="4">
        <v>4</v>
      </c>
      <c r="N634" s="22">
        <v>30</v>
      </c>
      <c r="O634" s="24">
        <f>M634 * N634</f>
        <v>120</v>
      </c>
      <c r="P634" s="16">
        <f>O634 * $S$3</f>
        <v>1.7999999999999998</v>
      </c>
      <c r="Q634" s="16">
        <f>O634 * $S$4</f>
        <v>2.4</v>
      </c>
    </row>
    <row r="635" spans="1:17">
      <c r="A635" s="2">
        <v>634</v>
      </c>
      <c r="B635" s="4">
        <f t="shared" si="45"/>
        <v>8</v>
      </c>
      <c r="C635" s="4">
        <f t="shared" si="46"/>
        <v>10</v>
      </c>
      <c r="D635" s="4">
        <f t="shared" si="47"/>
        <v>2023</v>
      </c>
      <c r="E635" s="4" t="str">
        <f t="shared" si="48"/>
        <v>Sun</v>
      </c>
      <c r="F635" s="4" t="str">
        <f t="shared" si="49"/>
        <v>Oct</v>
      </c>
      <c r="G635" s="3">
        <v>45207</v>
      </c>
      <c r="H635" s="4" t="s">
        <v>782</v>
      </c>
      <c r="I635" s="4" t="s">
        <v>4</v>
      </c>
      <c r="J635" s="4" t="str" cm="1">
        <f t="array" ref="J635">_xlfn.IFS(K635&gt;=50, "Senior", K635&gt;=30, "Adult", K635&lt;30,"Young Adult")</f>
        <v>Adult</v>
      </c>
      <c r="K635" s="4">
        <v>35</v>
      </c>
      <c r="L635" s="4" t="s">
        <v>8</v>
      </c>
      <c r="M635" s="4">
        <v>4</v>
      </c>
      <c r="N635" s="22">
        <v>500</v>
      </c>
      <c r="O635" s="24">
        <f>M635 * N635</f>
        <v>2000</v>
      </c>
      <c r="P635" s="16">
        <f>O635 * $S$3</f>
        <v>30</v>
      </c>
      <c r="Q635" s="16">
        <f>O635 * $S$4</f>
        <v>40</v>
      </c>
    </row>
    <row r="636" spans="1:17">
      <c r="A636" s="2">
        <v>635</v>
      </c>
      <c r="B636" s="4">
        <f t="shared" si="45"/>
        <v>17</v>
      </c>
      <c r="C636" s="4">
        <f t="shared" si="46"/>
        <v>8</v>
      </c>
      <c r="D636" s="4">
        <f t="shared" si="47"/>
        <v>2023</v>
      </c>
      <c r="E636" s="4" t="str">
        <f t="shared" si="48"/>
        <v>Thu</v>
      </c>
      <c r="F636" s="4" t="str">
        <f t="shared" si="49"/>
        <v>Aug</v>
      </c>
      <c r="G636" s="3">
        <v>45155</v>
      </c>
      <c r="H636" s="4" t="s">
        <v>783</v>
      </c>
      <c r="I636" s="4" t="s">
        <v>3</v>
      </c>
      <c r="J636" s="4" t="str" cm="1">
        <f t="array" ref="J636">_xlfn.IFS(K636&gt;=50, "Senior", K636&gt;=30, "Adult", K636&lt;30,"Young Adult")</f>
        <v>Adult</v>
      </c>
      <c r="K636" s="4">
        <v>35</v>
      </c>
      <c r="L636" s="4" t="s">
        <v>8</v>
      </c>
      <c r="M636" s="4">
        <v>3</v>
      </c>
      <c r="N636" s="22">
        <v>300</v>
      </c>
      <c r="O636" s="24">
        <f>M636 * N636</f>
        <v>900</v>
      </c>
      <c r="P636" s="16">
        <f>O636 * $S$3</f>
        <v>13.5</v>
      </c>
      <c r="Q636" s="16">
        <f>O636 * $S$4</f>
        <v>18</v>
      </c>
    </row>
    <row r="637" spans="1:17">
      <c r="A637" s="2">
        <v>636</v>
      </c>
      <c r="B637" s="4">
        <f t="shared" si="45"/>
        <v>23</v>
      </c>
      <c r="C637" s="4">
        <f t="shared" si="46"/>
        <v>3</v>
      </c>
      <c r="D637" s="4">
        <f t="shared" si="47"/>
        <v>2023</v>
      </c>
      <c r="E637" s="4" t="str">
        <f t="shared" si="48"/>
        <v>Thu</v>
      </c>
      <c r="F637" s="4" t="str">
        <f t="shared" si="49"/>
        <v>Mar</v>
      </c>
      <c r="G637" s="3">
        <v>45008</v>
      </c>
      <c r="H637" s="4" t="s">
        <v>784</v>
      </c>
      <c r="I637" s="4" t="s">
        <v>3</v>
      </c>
      <c r="J637" s="4" t="str" cm="1">
        <f t="array" ref="J637">_xlfn.IFS(K637&gt;=50, "Senior", K637&gt;=30, "Adult", K637&lt;30,"Young Adult")</f>
        <v>Adult</v>
      </c>
      <c r="K637" s="4">
        <v>35</v>
      </c>
      <c r="L637" s="4" t="s">
        <v>6</v>
      </c>
      <c r="M637" s="4">
        <v>3</v>
      </c>
      <c r="N637" s="22">
        <v>500</v>
      </c>
      <c r="O637" s="24">
        <f>M637 * N637</f>
        <v>1500</v>
      </c>
      <c r="P637" s="16">
        <f>O637 * $S$3</f>
        <v>22.5</v>
      </c>
      <c r="Q637" s="16">
        <f>O637 * $S$4</f>
        <v>30</v>
      </c>
    </row>
    <row r="638" spans="1:17">
      <c r="A638" s="2">
        <v>637</v>
      </c>
      <c r="B638" s="4">
        <f t="shared" si="45"/>
        <v>1</v>
      </c>
      <c r="C638" s="4">
        <f t="shared" si="46"/>
        <v>9</v>
      </c>
      <c r="D638" s="4">
        <f t="shared" si="47"/>
        <v>2023</v>
      </c>
      <c r="E638" s="4" t="str">
        <f t="shared" si="48"/>
        <v>Fri</v>
      </c>
      <c r="F638" s="4" t="str">
        <f t="shared" si="49"/>
        <v>Sep</v>
      </c>
      <c r="G638" s="3">
        <v>45170</v>
      </c>
      <c r="H638" s="4" t="s">
        <v>233</v>
      </c>
      <c r="I638" s="4" t="s">
        <v>4</v>
      </c>
      <c r="J638" s="4" t="str" cm="1">
        <f t="array" ref="J638">_xlfn.IFS(K638&gt;=50, "Senior", K638&gt;=30, "Adult", K638&lt;30,"Young Adult")</f>
        <v>Adult</v>
      </c>
      <c r="K638" s="4">
        <v>35</v>
      </c>
      <c r="L638" s="4" t="s">
        <v>7</v>
      </c>
      <c r="M638" s="4">
        <v>2</v>
      </c>
      <c r="N638" s="22">
        <v>300</v>
      </c>
      <c r="O638" s="24">
        <f>M638 * N638</f>
        <v>600</v>
      </c>
      <c r="P638" s="16">
        <f>O638 * $S$3</f>
        <v>9</v>
      </c>
      <c r="Q638" s="16">
        <f>O638 * $S$4</f>
        <v>12</v>
      </c>
    </row>
    <row r="639" spans="1:17">
      <c r="A639" s="2">
        <v>638</v>
      </c>
      <c r="B639" s="4">
        <f t="shared" si="45"/>
        <v>19</v>
      </c>
      <c r="C639" s="4">
        <f t="shared" si="46"/>
        <v>8</v>
      </c>
      <c r="D639" s="4">
        <f t="shared" si="47"/>
        <v>2023</v>
      </c>
      <c r="E639" s="4" t="str">
        <f t="shared" si="48"/>
        <v>Sat</v>
      </c>
      <c r="F639" s="4" t="str">
        <f t="shared" si="49"/>
        <v>Aug</v>
      </c>
      <c r="G639" s="3">
        <v>45157</v>
      </c>
      <c r="H639" s="4" t="s">
        <v>785</v>
      </c>
      <c r="I639" s="4" t="s">
        <v>4</v>
      </c>
      <c r="J639" s="4" t="str" cm="1">
        <f t="array" ref="J639">_xlfn.IFS(K639&gt;=50, "Senior", K639&gt;=30, "Adult", K639&lt;30,"Young Adult")</f>
        <v>Adult</v>
      </c>
      <c r="K639" s="4">
        <v>35</v>
      </c>
      <c r="L639" s="4" t="s">
        <v>8</v>
      </c>
      <c r="M639" s="4">
        <v>1</v>
      </c>
      <c r="N639" s="22">
        <v>500</v>
      </c>
      <c r="O639" s="24">
        <f>M639 * N639</f>
        <v>500</v>
      </c>
      <c r="P639" s="16">
        <f>O639 * $S$3</f>
        <v>7.5</v>
      </c>
      <c r="Q639" s="16">
        <f>O639 * $S$4</f>
        <v>10</v>
      </c>
    </row>
    <row r="640" spans="1:17">
      <c r="A640" s="2">
        <v>639</v>
      </c>
      <c r="B640" s="4">
        <f t="shared" si="45"/>
        <v>13</v>
      </c>
      <c r="C640" s="4">
        <f t="shared" si="46"/>
        <v>5</v>
      </c>
      <c r="D640" s="4">
        <f t="shared" si="47"/>
        <v>2023</v>
      </c>
      <c r="E640" s="4" t="str">
        <f t="shared" si="48"/>
        <v>Sat</v>
      </c>
      <c r="F640" s="4" t="str">
        <f t="shared" si="49"/>
        <v>May</v>
      </c>
      <c r="G640" s="3">
        <v>45059</v>
      </c>
      <c r="H640" s="4" t="s">
        <v>786</v>
      </c>
      <c r="I640" s="4" t="s">
        <v>3</v>
      </c>
      <c r="J640" s="4" t="str" cm="1">
        <f t="array" ref="J640">_xlfn.IFS(K640&gt;=50, "Senior", K640&gt;=30, "Adult", K640&lt;30,"Young Adult")</f>
        <v>Adult</v>
      </c>
      <c r="K640" s="4">
        <v>35</v>
      </c>
      <c r="L640" s="4" t="s">
        <v>6</v>
      </c>
      <c r="M640" s="4">
        <v>4</v>
      </c>
      <c r="N640" s="22">
        <v>50</v>
      </c>
      <c r="O640" s="24">
        <f>M640 * N640</f>
        <v>200</v>
      </c>
      <c r="P640" s="16">
        <f>O640 * $S$3</f>
        <v>3</v>
      </c>
      <c r="Q640" s="16">
        <f>O640 * $S$4</f>
        <v>4</v>
      </c>
    </row>
    <row r="641" spans="1:17">
      <c r="A641" s="2">
        <v>640</v>
      </c>
      <c r="B641" s="4">
        <f t="shared" si="45"/>
        <v>7</v>
      </c>
      <c r="C641" s="4">
        <f t="shared" si="46"/>
        <v>5</v>
      </c>
      <c r="D641" s="4">
        <f t="shared" si="47"/>
        <v>2023</v>
      </c>
      <c r="E641" s="4" t="str">
        <f t="shared" si="48"/>
        <v>Sun</v>
      </c>
      <c r="F641" s="4" t="str">
        <f t="shared" si="49"/>
        <v>May</v>
      </c>
      <c r="G641" s="3">
        <v>45053</v>
      </c>
      <c r="H641" s="4" t="s">
        <v>787</v>
      </c>
      <c r="I641" s="4" t="s">
        <v>3</v>
      </c>
      <c r="J641" s="4" t="str" cm="1">
        <f t="array" ref="J641">_xlfn.IFS(K641&gt;=50, "Senior", K641&gt;=30, "Adult", K641&lt;30,"Young Adult")</f>
        <v>Adult</v>
      </c>
      <c r="K641" s="4">
        <v>35</v>
      </c>
      <c r="L641" s="4" t="s">
        <v>8</v>
      </c>
      <c r="M641" s="4">
        <v>4</v>
      </c>
      <c r="N641" s="22">
        <v>30</v>
      </c>
      <c r="O641" s="24">
        <f>M641 * N641</f>
        <v>120</v>
      </c>
      <c r="P641" s="16">
        <f>O641 * $S$3</f>
        <v>1.7999999999999998</v>
      </c>
      <c r="Q641" s="16">
        <f>O641 * $S$4</f>
        <v>2.4</v>
      </c>
    </row>
    <row r="642" spans="1:17">
      <c r="A642" s="2">
        <v>641</v>
      </c>
      <c r="B642" s="4">
        <f t="shared" si="45"/>
        <v>23</v>
      </c>
      <c r="C642" s="4">
        <f t="shared" si="46"/>
        <v>11</v>
      </c>
      <c r="D642" s="4">
        <f t="shared" si="47"/>
        <v>2023</v>
      </c>
      <c r="E642" s="4" t="str">
        <f t="shared" si="48"/>
        <v>Thu</v>
      </c>
      <c r="F642" s="4" t="str">
        <f t="shared" si="49"/>
        <v>Nov</v>
      </c>
      <c r="G642" s="3">
        <v>45253</v>
      </c>
      <c r="H642" s="4" t="s">
        <v>788</v>
      </c>
      <c r="I642" s="4" t="s">
        <v>3</v>
      </c>
      <c r="J642" s="4" t="str" cm="1">
        <f t="array" ref="J642">_xlfn.IFS(K642&gt;=50, "Senior", K642&gt;=30, "Adult", K642&lt;30,"Young Adult")</f>
        <v>Adult</v>
      </c>
      <c r="K642" s="4">
        <v>35</v>
      </c>
      <c r="L642" s="4" t="s">
        <v>8</v>
      </c>
      <c r="M642" s="4">
        <v>1</v>
      </c>
      <c r="N642" s="22">
        <v>300</v>
      </c>
      <c r="O642" s="24">
        <f>M642 * N642</f>
        <v>300</v>
      </c>
      <c r="P642" s="16">
        <f>O642 * $S$3</f>
        <v>4.5</v>
      </c>
      <c r="Q642" s="16">
        <f>O642 * $S$4</f>
        <v>6</v>
      </c>
    </row>
    <row r="643" spans="1:17">
      <c r="A643" s="2">
        <v>642</v>
      </c>
      <c r="B643" s="4">
        <f t="shared" ref="B643:B706" si="50">DAY(G643)</f>
        <v>22</v>
      </c>
      <c r="C643" s="4">
        <f t="shared" ref="C643:C706" si="51">MONTH(G643)</f>
        <v>5</v>
      </c>
      <c r="D643" s="4">
        <f t="shared" ref="D643:D706" si="52">YEAR(G643)</f>
        <v>2023</v>
      </c>
      <c r="E643" s="4" t="str">
        <f t="shared" ref="E643:E706" si="53">TEXT(G643,"DDD")</f>
        <v>Mon</v>
      </c>
      <c r="F643" s="4" t="str">
        <f t="shared" ref="F643:F706" si="54">TEXT(G643,"MMM")</f>
        <v>May</v>
      </c>
      <c r="G643" s="3">
        <v>45068</v>
      </c>
      <c r="H643" s="4" t="s">
        <v>789</v>
      </c>
      <c r="I643" s="4" t="s">
        <v>3</v>
      </c>
      <c r="J643" s="4" t="str" cm="1">
        <f t="array" ref="J643">_xlfn.IFS(K643&gt;=50, "Senior", K643&gt;=30, "Adult", K643&lt;30,"Young Adult")</f>
        <v>Adult</v>
      </c>
      <c r="K643" s="4">
        <v>35</v>
      </c>
      <c r="L643" s="4" t="s">
        <v>7</v>
      </c>
      <c r="M643" s="4">
        <v>4</v>
      </c>
      <c r="N643" s="22">
        <v>25</v>
      </c>
      <c r="O643" s="24">
        <f>M643 * N643</f>
        <v>100</v>
      </c>
      <c r="P643" s="16">
        <f>O643 * $S$3</f>
        <v>1.5</v>
      </c>
      <c r="Q643" s="16">
        <f>O643 * $S$4</f>
        <v>2</v>
      </c>
    </row>
    <row r="644" spans="1:17">
      <c r="A644" s="2">
        <v>643</v>
      </c>
      <c r="B644" s="4">
        <f t="shared" si="50"/>
        <v>24</v>
      </c>
      <c r="C644" s="4">
        <f t="shared" si="51"/>
        <v>9</v>
      </c>
      <c r="D644" s="4">
        <f t="shared" si="52"/>
        <v>2023</v>
      </c>
      <c r="E644" s="4" t="str">
        <f t="shared" si="53"/>
        <v>Sun</v>
      </c>
      <c r="F644" s="4" t="str">
        <f t="shared" si="54"/>
        <v>Sep</v>
      </c>
      <c r="G644" s="3">
        <v>45193</v>
      </c>
      <c r="H644" s="4" t="s">
        <v>790</v>
      </c>
      <c r="I644" s="4" t="s">
        <v>3</v>
      </c>
      <c r="J644" s="4" t="str" cm="1">
        <f t="array" ref="J644">_xlfn.IFS(K644&gt;=50, "Senior", K644&gt;=30, "Adult", K644&lt;30,"Young Adult")</f>
        <v>Adult</v>
      </c>
      <c r="K644" s="4">
        <v>35</v>
      </c>
      <c r="L644" s="4" t="s">
        <v>8</v>
      </c>
      <c r="M644" s="4">
        <v>3</v>
      </c>
      <c r="N644" s="22">
        <v>30</v>
      </c>
      <c r="O644" s="24">
        <f>M644 * N644</f>
        <v>90</v>
      </c>
      <c r="P644" s="16">
        <f>O644 * $S$3</f>
        <v>1.3499999999999999</v>
      </c>
      <c r="Q644" s="16">
        <f>O644 * $S$4</f>
        <v>1.8</v>
      </c>
    </row>
    <row r="645" spans="1:17">
      <c r="A645" s="2">
        <v>644</v>
      </c>
      <c r="B645" s="4">
        <f t="shared" si="50"/>
        <v>6</v>
      </c>
      <c r="C645" s="4">
        <f t="shared" si="51"/>
        <v>9</v>
      </c>
      <c r="D645" s="4">
        <f t="shared" si="52"/>
        <v>2023</v>
      </c>
      <c r="E645" s="4" t="str">
        <f t="shared" si="53"/>
        <v>Wed</v>
      </c>
      <c r="F645" s="4" t="str">
        <f t="shared" si="54"/>
        <v>Sep</v>
      </c>
      <c r="G645" s="3">
        <v>45175</v>
      </c>
      <c r="H645" s="4" t="s">
        <v>791</v>
      </c>
      <c r="I645" s="4" t="s">
        <v>4</v>
      </c>
      <c r="J645" s="4" t="str" cm="1">
        <f t="array" ref="J645">_xlfn.IFS(K645&gt;=50, "Senior", K645&gt;=30, "Adult", K645&lt;30,"Young Adult")</f>
        <v>Adult</v>
      </c>
      <c r="K645" s="4">
        <v>35</v>
      </c>
      <c r="L645" s="4" t="s">
        <v>6</v>
      </c>
      <c r="M645" s="4">
        <v>3</v>
      </c>
      <c r="N645" s="22">
        <v>25</v>
      </c>
      <c r="O645" s="24">
        <f>M645 * N645</f>
        <v>75</v>
      </c>
      <c r="P645" s="16">
        <f>O645 * $S$3</f>
        <v>1.125</v>
      </c>
      <c r="Q645" s="16">
        <f>O645 * $S$4</f>
        <v>1.5</v>
      </c>
    </row>
    <row r="646" spans="1:17">
      <c r="A646" s="2">
        <v>645</v>
      </c>
      <c r="B646" s="4">
        <f t="shared" si="50"/>
        <v>17</v>
      </c>
      <c r="C646" s="4">
        <f t="shared" si="51"/>
        <v>11</v>
      </c>
      <c r="D646" s="4">
        <f t="shared" si="52"/>
        <v>2023</v>
      </c>
      <c r="E646" s="4" t="str">
        <f t="shared" si="53"/>
        <v>Fri</v>
      </c>
      <c r="F646" s="4" t="str">
        <f t="shared" si="54"/>
        <v>Nov</v>
      </c>
      <c r="G646" s="3">
        <v>45247</v>
      </c>
      <c r="H646" s="4" t="s">
        <v>792</v>
      </c>
      <c r="I646" s="4" t="s">
        <v>3</v>
      </c>
      <c r="J646" s="4" t="str" cm="1">
        <f t="array" ref="J646">_xlfn.IFS(K646&gt;=50, "Senior", K646&gt;=30, "Adult", K646&lt;30,"Young Adult")</f>
        <v>Adult</v>
      </c>
      <c r="K646" s="4">
        <v>35</v>
      </c>
      <c r="L646" s="4" t="s">
        <v>8</v>
      </c>
      <c r="M646" s="4">
        <v>4</v>
      </c>
      <c r="N646" s="22">
        <v>30</v>
      </c>
      <c r="O646" s="24">
        <f>M646 * N646</f>
        <v>120</v>
      </c>
      <c r="P646" s="16">
        <f>O646 * $S$3</f>
        <v>1.7999999999999998</v>
      </c>
      <c r="Q646" s="16">
        <f>O646 * $S$4</f>
        <v>2.4</v>
      </c>
    </row>
    <row r="647" spans="1:17">
      <c r="A647" s="2">
        <v>646</v>
      </c>
      <c r="B647" s="4">
        <f t="shared" si="50"/>
        <v>3</v>
      </c>
      <c r="C647" s="4">
        <f t="shared" si="51"/>
        <v>5</v>
      </c>
      <c r="D647" s="4">
        <f t="shared" si="52"/>
        <v>2023</v>
      </c>
      <c r="E647" s="4" t="str">
        <f t="shared" si="53"/>
        <v>Wed</v>
      </c>
      <c r="F647" s="4" t="str">
        <f t="shared" si="54"/>
        <v>May</v>
      </c>
      <c r="G647" s="3">
        <v>45049</v>
      </c>
      <c r="H647" s="4" t="s">
        <v>232</v>
      </c>
      <c r="I647" s="4" t="s">
        <v>4</v>
      </c>
      <c r="J647" s="4" t="str" cm="1">
        <f t="array" ref="J647">_xlfn.IFS(K647&gt;=50, "Senior", K647&gt;=30, "Adult", K647&lt;30,"Young Adult")</f>
        <v>Adult</v>
      </c>
      <c r="K647" s="4">
        <v>35</v>
      </c>
      <c r="L647" s="4" t="s">
        <v>7</v>
      </c>
      <c r="M647" s="4">
        <v>3</v>
      </c>
      <c r="N647" s="22">
        <v>30</v>
      </c>
      <c r="O647" s="24">
        <f>M647 * N647</f>
        <v>90</v>
      </c>
      <c r="P647" s="16">
        <f>O647 * $S$3</f>
        <v>1.3499999999999999</v>
      </c>
      <c r="Q647" s="16">
        <f>O647 * $S$4</f>
        <v>1.8</v>
      </c>
    </row>
    <row r="648" spans="1:17">
      <c r="A648" s="2">
        <v>647</v>
      </c>
      <c r="B648" s="4">
        <f t="shared" si="50"/>
        <v>21</v>
      </c>
      <c r="C648" s="4">
        <f t="shared" si="51"/>
        <v>5</v>
      </c>
      <c r="D648" s="4">
        <f t="shared" si="52"/>
        <v>2023</v>
      </c>
      <c r="E648" s="4" t="str">
        <f t="shared" si="53"/>
        <v>Sun</v>
      </c>
      <c r="F648" s="4" t="str">
        <f t="shared" si="54"/>
        <v>May</v>
      </c>
      <c r="G648" s="3">
        <v>45067</v>
      </c>
      <c r="H648" s="4" t="s">
        <v>793</v>
      </c>
      <c r="I648" s="4" t="s">
        <v>4</v>
      </c>
      <c r="J648" s="4" t="str" cm="1">
        <f t="array" ref="J648">_xlfn.IFS(K648&gt;=50, "Senior", K648&gt;=30, "Adult", K648&lt;30,"Young Adult")</f>
        <v>Adult</v>
      </c>
      <c r="K648" s="4">
        <v>35</v>
      </c>
      <c r="L648" s="4" t="s">
        <v>7</v>
      </c>
      <c r="M648" s="4">
        <v>3</v>
      </c>
      <c r="N648" s="22">
        <v>500</v>
      </c>
      <c r="O648" s="24">
        <f>M648 * N648</f>
        <v>1500</v>
      </c>
      <c r="P648" s="16">
        <f>O648 * $S$3</f>
        <v>22.5</v>
      </c>
      <c r="Q648" s="16">
        <f>O648 * $S$4</f>
        <v>30</v>
      </c>
    </row>
    <row r="649" spans="1:17">
      <c r="A649" s="2">
        <v>648</v>
      </c>
      <c r="B649" s="4">
        <f t="shared" si="50"/>
        <v>14</v>
      </c>
      <c r="C649" s="4">
        <f t="shared" si="51"/>
        <v>8</v>
      </c>
      <c r="D649" s="4">
        <f t="shared" si="52"/>
        <v>2023</v>
      </c>
      <c r="E649" s="4" t="str">
        <f t="shared" si="53"/>
        <v>Mon</v>
      </c>
      <c r="F649" s="4" t="str">
        <f t="shared" si="54"/>
        <v>Aug</v>
      </c>
      <c r="G649" s="3">
        <v>45152</v>
      </c>
      <c r="H649" s="4" t="s">
        <v>794</v>
      </c>
      <c r="I649" s="4" t="s">
        <v>4</v>
      </c>
      <c r="J649" s="4" t="str" cm="1">
        <f t="array" ref="J649">_xlfn.IFS(K649&gt;=50, "Senior", K649&gt;=30, "Adult", K649&lt;30,"Young Adult")</f>
        <v>Adult</v>
      </c>
      <c r="K649" s="4">
        <v>35</v>
      </c>
      <c r="L649" s="4" t="s">
        <v>6</v>
      </c>
      <c r="M649" s="4">
        <v>4</v>
      </c>
      <c r="N649" s="22">
        <v>300</v>
      </c>
      <c r="O649" s="24">
        <f>M649 * N649</f>
        <v>1200</v>
      </c>
      <c r="P649" s="16">
        <f>O649 * $S$3</f>
        <v>18</v>
      </c>
      <c r="Q649" s="16">
        <f>O649 * $S$4</f>
        <v>24</v>
      </c>
    </row>
    <row r="650" spans="1:17">
      <c r="A650" s="2">
        <v>649</v>
      </c>
      <c r="B650" s="4">
        <f t="shared" si="50"/>
        <v>9</v>
      </c>
      <c r="C650" s="4">
        <f t="shared" si="51"/>
        <v>2</v>
      </c>
      <c r="D650" s="4">
        <f t="shared" si="52"/>
        <v>2023</v>
      </c>
      <c r="E650" s="4" t="str">
        <f t="shared" si="53"/>
        <v>Thu</v>
      </c>
      <c r="F650" s="4" t="str">
        <f t="shared" si="54"/>
        <v>Feb</v>
      </c>
      <c r="G650" s="3">
        <v>44966</v>
      </c>
      <c r="H650" s="4" t="s">
        <v>795</v>
      </c>
      <c r="I650" s="4" t="s">
        <v>3</v>
      </c>
      <c r="J650" s="4" t="str" cm="1">
        <f t="array" ref="J650">_xlfn.IFS(K650&gt;=50, "Senior", K650&gt;=30, "Adult", K650&lt;30,"Young Adult")</f>
        <v>Adult</v>
      </c>
      <c r="K650" s="4">
        <v>34</v>
      </c>
      <c r="L650" s="4" t="s">
        <v>7</v>
      </c>
      <c r="M650" s="4">
        <v>2</v>
      </c>
      <c r="N650" s="22">
        <v>300</v>
      </c>
      <c r="O650" s="24">
        <f>M650 * N650</f>
        <v>600</v>
      </c>
      <c r="P650" s="16">
        <f>O650 * $S$3</f>
        <v>9</v>
      </c>
      <c r="Q650" s="16">
        <f>O650 * $S$4</f>
        <v>12</v>
      </c>
    </row>
    <row r="651" spans="1:17">
      <c r="A651" s="2">
        <v>650</v>
      </c>
      <c r="B651" s="4">
        <f t="shared" si="50"/>
        <v>1</v>
      </c>
      <c r="C651" s="4">
        <f t="shared" si="51"/>
        <v>1</v>
      </c>
      <c r="D651" s="4">
        <f t="shared" si="52"/>
        <v>2024</v>
      </c>
      <c r="E651" s="4" t="str">
        <f t="shared" si="53"/>
        <v>Mon</v>
      </c>
      <c r="F651" s="4" t="str">
        <f t="shared" si="54"/>
        <v>Jan</v>
      </c>
      <c r="G651" s="3">
        <v>45292</v>
      </c>
      <c r="H651" s="4" t="s">
        <v>796</v>
      </c>
      <c r="I651" s="4" t="s">
        <v>4</v>
      </c>
      <c r="J651" s="4" t="str" cm="1">
        <f t="array" ref="J651">_xlfn.IFS(K651&gt;=50, "Senior", K651&gt;=30, "Adult", K651&lt;30,"Young Adult")</f>
        <v>Adult</v>
      </c>
      <c r="K651" s="4">
        <v>34</v>
      </c>
      <c r="L651" s="4" t="s">
        <v>8</v>
      </c>
      <c r="M651" s="4">
        <v>1</v>
      </c>
      <c r="N651" s="22">
        <v>30</v>
      </c>
      <c r="O651" s="24">
        <f>M651 * N651</f>
        <v>30</v>
      </c>
      <c r="P651" s="16">
        <f>O651 * $S$3</f>
        <v>0.44999999999999996</v>
      </c>
      <c r="Q651" s="16">
        <f>O651 * $S$4</f>
        <v>0.6</v>
      </c>
    </row>
    <row r="652" spans="1:17">
      <c r="A652" s="2">
        <v>651</v>
      </c>
      <c r="B652" s="4">
        <f t="shared" si="50"/>
        <v>27</v>
      </c>
      <c r="C652" s="4">
        <f t="shared" si="51"/>
        <v>5</v>
      </c>
      <c r="D652" s="4">
        <f t="shared" si="52"/>
        <v>2023</v>
      </c>
      <c r="E652" s="4" t="str">
        <f t="shared" si="53"/>
        <v>Sat</v>
      </c>
      <c r="F652" s="4" t="str">
        <f t="shared" si="54"/>
        <v>May</v>
      </c>
      <c r="G652" s="3">
        <v>45073</v>
      </c>
      <c r="H652" s="4" t="s">
        <v>797</v>
      </c>
      <c r="I652" s="4" t="s">
        <v>4</v>
      </c>
      <c r="J652" s="4" t="str" cm="1">
        <f t="array" ref="J652">_xlfn.IFS(K652&gt;=50, "Senior", K652&gt;=30, "Adult", K652&lt;30,"Young Adult")</f>
        <v>Adult</v>
      </c>
      <c r="K652" s="4">
        <v>34</v>
      </c>
      <c r="L652" s="4" t="s">
        <v>7</v>
      </c>
      <c r="M652" s="4">
        <v>3</v>
      </c>
      <c r="N652" s="22">
        <v>50</v>
      </c>
      <c r="O652" s="24">
        <f>M652 * N652</f>
        <v>150</v>
      </c>
      <c r="P652" s="16">
        <f>O652 * $S$3</f>
        <v>2.25</v>
      </c>
      <c r="Q652" s="16">
        <f>O652 * $S$4</f>
        <v>3</v>
      </c>
    </row>
    <row r="653" spans="1:17">
      <c r="A653" s="2">
        <v>652</v>
      </c>
      <c r="B653" s="4">
        <f t="shared" si="50"/>
        <v>1</v>
      </c>
      <c r="C653" s="4">
        <f t="shared" si="51"/>
        <v>5</v>
      </c>
      <c r="D653" s="4">
        <f t="shared" si="52"/>
        <v>2023</v>
      </c>
      <c r="E653" s="4" t="str">
        <f t="shared" si="53"/>
        <v>Mon</v>
      </c>
      <c r="F653" s="4" t="str">
        <f t="shared" si="54"/>
        <v>May</v>
      </c>
      <c r="G653" s="3">
        <v>45047</v>
      </c>
      <c r="H653" s="4" t="s">
        <v>101</v>
      </c>
      <c r="I653" s="4" t="s">
        <v>3</v>
      </c>
      <c r="J653" s="4" t="str" cm="1">
        <f t="array" ref="J653">_xlfn.IFS(K653&gt;=50, "Senior", K653&gt;=30, "Adult", K653&lt;30,"Young Adult")</f>
        <v>Adult</v>
      </c>
      <c r="K653" s="4">
        <v>34</v>
      </c>
      <c r="L653" s="4" t="s">
        <v>6</v>
      </c>
      <c r="M653" s="4">
        <v>2</v>
      </c>
      <c r="N653" s="22">
        <v>50</v>
      </c>
      <c r="O653" s="24">
        <f>M653 * N653</f>
        <v>100</v>
      </c>
      <c r="P653" s="16">
        <f>O653 * $S$3</f>
        <v>1.5</v>
      </c>
      <c r="Q653" s="16">
        <f>O653 * $S$4</f>
        <v>2</v>
      </c>
    </row>
    <row r="654" spans="1:17">
      <c r="A654" s="2">
        <v>653</v>
      </c>
      <c r="B654" s="4">
        <f t="shared" si="50"/>
        <v>20</v>
      </c>
      <c r="C654" s="4">
        <f t="shared" si="51"/>
        <v>5</v>
      </c>
      <c r="D654" s="4">
        <f t="shared" si="52"/>
        <v>2023</v>
      </c>
      <c r="E654" s="4" t="str">
        <f t="shared" si="53"/>
        <v>Sat</v>
      </c>
      <c r="F654" s="4" t="str">
        <f t="shared" si="54"/>
        <v>May</v>
      </c>
      <c r="G654" s="3">
        <v>45066</v>
      </c>
      <c r="H654" s="4" t="s">
        <v>798</v>
      </c>
      <c r="I654" s="4" t="s">
        <v>4</v>
      </c>
      <c r="J654" s="4" t="str" cm="1">
        <f t="array" ref="J654">_xlfn.IFS(K654&gt;=50, "Senior", K654&gt;=30, "Adult", K654&lt;30,"Young Adult")</f>
        <v>Adult</v>
      </c>
      <c r="K654" s="4">
        <v>34</v>
      </c>
      <c r="L654" s="4" t="s">
        <v>7</v>
      </c>
      <c r="M654" s="4">
        <v>3</v>
      </c>
      <c r="N654" s="22">
        <v>25</v>
      </c>
      <c r="O654" s="24">
        <f>M654 * N654</f>
        <v>75</v>
      </c>
      <c r="P654" s="16">
        <f>O654 * $S$3</f>
        <v>1.125</v>
      </c>
      <c r="Q654" s="16">
        <f>O654 * $S$4</f>
        <v>1.5</v>
      </c>
    </row>
    <row r="655" spans="1:17">
      <c r="A655" s="2">
        <v>654</v>
      </c>
      <c r="B655" s="4">
        <f t="shared" si="50"/>
        <v>21</v>
      </c>
      <c r="C655" s="4">
        <f t="shared" si="51"/>
        <v>6</v>
      </c>
      <c r="D655" s="4">
        <f t="shared" si="52"/>
        <v>2023</v>
      </c>
      <c r="E655" s="4" t="str">
        <f t="shared" si="53"/>
        <v>Wed</v>
      </c>
      <c r="F655" s="4" t="str">
        <f t="shared" si="54"/>
        <v>Jun</v>
      </c>
      <c r="G655" s="3">
        <v>45098</v>
      </c>
      <c r="H655" s="4" t="s">
        <v>231</v>
      </c>
      <c r="I655" s="4" t="s">
        <v>4</v>
      </c>
      <c r="J655" s="4" t="str" cm="1">
        <f t="array" ref="J655">_xlfn.IFS(K655&gt;=50, "Senior", K655&gt;=30, "Adult", K655&lt;30,"Young Adult")</f>
        <v>Adult</v>
      </c>
      <c r="K655" s="4">
        <v>34</v>
      </c>
      <c r="L655" s="4" t="s">
        <v>7</v>
      </c>
      <c r="M655" s="4">
        <v>3</v>
      </c>
      <c r="N655" s="22">
        <v>25</v>
      </c>
      <c r="O655" s="24">
        <f>M655 * N655</f>
        <v>75</v>
      </c>
      <c r="P655" s="16">
        <f>O655 * $S$3</f>
        <v>1.125</v>
      </c>
      <c r="Q655" s="16">
        <f>O655 * $S$4</f>
        <v>1.5</v>
      </c>
    </row>
    <row r="656" spans="1:17">
      <c r="A656" s="2">
        <v>655</v>
      </c>
      <c r="B656" s="4">
        <f t="shared" si="50"/>
        <v>13</v>
      </c>
      <c r="C656" s="4">
        <f t="shared" si="51"/>
        <v>6</v>
      </c>
      <c r="D656" s="4">
        <f t="shared" si="52"/>
        <v>2023</v>
      </c>
      <c r="E656" s="4" t="str">
        <f t="shared" si="53"/>
        <v>Tue</v>
      </c>
      <c r="F656" s="4" t="str">
        <f t="shared" si="54"/>
        <v>Jun</v>
      </c>
      <c r="G656" s="3">
        <v>45090</v>
      </c>
      <c r="H656" s="4" t="s">
        <v>799</v>
      </c>
      <c r="I656" s="4" t="s">
        <v>3</v>
      </c>
      <c r="J656" s="4" t="str" cm="1">
        <f t="array" ref="J656">_xlfn.IFS(K656&gt;=50, "Senior", K656&gt;=30, "Adult", K656&lt;30,"Young Adult")</f>
        <v>Adult</v>
      </c>
      <c r="K656" s="4">
        <v>34</v>
      </c>
      <c r="L656" s="4" t="s">
        <v>7</v>
      </c>
      <c r="M656" s="4">
        <v>1</v>
      </c>
      <c r="N656" s="22">
        <v>500</v>
      </c>
      <c r="O656" s="24">
        <f>M656 * N656</f>
        <v>500</v>
      </c>
      <c r="P656" s="16">
        <f>O656 * $S$3</f>
        <v>7.5</v>
      </c>
      <c r="Q656" s="16">
        <f>O656 * $S$4</f>
        <v>10</v>
      </c>
    </row>
    <row r="657" spans="1:17">
      <c r="A657" s="2">
        <v>656</v>
      </c>
      <c r="B657" s="4">
        <f t="shared" si="50"/>
        <v>4</v>
      </c>
      <c r="C657" s="4">
        <f t="shared" si="51"/>
        <v>10</v>
      </c>
      <c r="D657" s="4">
        <f t="shared" si="52"/>
        <v>2023</v>
      </c>
      <c r="E657" s="4" t="str">
        <f t="shared" si="53"/>
        <v>Wed</v>
      </c>
      <c r="F657" s="4" t="str">
        <f t="shared" si="54"/>
        <v>Oct</v>
      </c>
      <c r="G657" s="3">
        <v>45203</v>
      </c>
      <c r="H657" s="4" t="s">
        <v>800</v>
      </c>
      <c r="I657" s="4" t="s">
        <v>4</v>
      </c>
      <c r="J657" s="4" t="str" cm="1">
        <f t="array" ref="J657">_xlfn.IFS(K657&gt;=50, "Senior", K657&gt;=30, "Adult", K657&lt;30,"Young Adult")</f>
        <v>Adult</v>
      </c>
      <c r="K657" s="4">
        <v>34</v>
      </c>
      <c r="L657" s="4" t="s">
        <v>6</v>
      </c>
      <c r="M657" s="4">
        <v>3</v>
      </c>
      <c r="N657" s="22">
        <v>30</v>
      </c>
      <c r="O657" s="24">
        <f>M657 * N657</f>
        <v>90</v>
      </c>
      <c r="P657" s="16">
        <f>O657 * $S$3</f>
        <v>1.3499999999999999</v>
      </c>
      <c r="Q657" s="16">
        <f>O657 * $S$4</f>
        <v>1.8</v>
      </c>
    </row>
    <row r="658" spans="1:17">
      <c r="A658" s="2">
        <v>657</v>
      </c>
      <c r="B658" s="4">
        <f t="shared" si="50"/>
        <v>11</v>
      </c>
      <c r="C658" s="4">
        <f t="shared" si="51"/>
        <v>2</v>
      </c>
      <c r="D658" s="4">
        <f t="shared" si="52"/>
        <v>2023</v>
      </c>
      <c r="E658" s="4" t="str">
        <f t="shared" si="53"/>
        <v>Sat</v>
      </c>
      <c r="F658" s="4" t="str">
        <f t="shared" si="54"/>
        <v>Feb</v>
      </c>
      <c r="G658" s="3">
        <v>44968</v>
      </c>
      <c r="H658" s="4" t="s">
        <v>230</v>
      </c>
      <c r="I658" s="4" t="s">
        <v>4</v>
      </c>
      <c r="J658" s="4" t="str" cm="1">
        <f t="array" ref="J658">_xlfn.IFS(K658&gt;=50, "Senior", K658&gt;=30, "Adult", K658&lt;30,"Young Adult")</f>
        <v>Adult</v>
      </c>
      <c r="K658" s="4">
        <v>34</v>
      </c>
      <c r="L658" s="4" t="s">
        <v>7</v>
      </c>
      <c r="M658" s="4">
        <v>1</v>
      </c>
      <c r="N658" s="22">
        <v>25</v>
      </c>
      <c r="O658" s="24">
        <f>M658 * N658</f>
        <v>25</v>
      </c>
      <c r="P658" s="16">
        <f>O658 * $S$3</f>
        <v>0.375</v>
      </c>
      <c r="Q658" s="16">
        <f>O658 * $S$4</f>
        <v>0.5</v>
      </c>
    </row>
    <row r="659" spans="1:17">
      <c r="A659" s="2">
        <v>658</v>
      </c>
      <c r="B659" s="4">
        <f t="shared" si="50"/>
        <v>12</v>
      </c>
      <c r="C659" s="4">
        <f t="shared" si="51"/>
        <v>3</v>
      </c>
      <c r="D659" s="4">
        <f t="shared" si="52"/>
        <v>2023</v>
      </c>
      <c r="E659" s="4" t="str">
        <f t="shared" si="53"/>
        <v>Sun</v>
      </c>
      <c r="F659" s="4" t="str">
        <f t="shared" si="54"/>
        <v>Mar</v>
      </c>
      <c r="G659" s="3">
        <v>44997</v>
      </c>
      <c r="H659" s="4" t="s">
        <v>801</v>
      </c>
      <c r="I659" s="4" t="s">
        <v>4</v>
      </c>
      <c r="J659" s="4" t="str" cm="1">
        <f t="array" ref="J659">_xlfn.IFS(K659&gt;=50, "Senior", K659&gt;=30, "Adult", K659&lt;30,"Young Adult")</f>
        <v>Adult</v>
      </c>
      <c r="K659" s="4">
        <v>34</v>
      </c>
      <c r="L659" s="4" t="s">
        <v>7</v>
      </c>
      <c r="M659" s="4">
        <v>1</v>
      </c>
      <c r="N659" s="22">
        <v>25</v>
      </c>
      <c r="O659" s="24">
        <f>M659 * N659</f>
        <v>25</v>
      </c>
      <c r="P659" s="16">
        <f>O659 * $S$3</f>
        <v>0.375</v>
      </c>
      <c r="Q659" s="16">
        <f>O659 * $S$4</f>
        <v>0.5</v>
      </c>
    </row>
    <row r="660" spans="1:17">
      <c r="A660" s="2">
        <v>659</v>
      </c>
      <c r="B660" s="4">
        <f t="shared" si="50"/>
        <v>19</v>
      </c>
      <c r="C660" s="4">
        <f t="shared" si="51"/>
        <v>3</v>
      </c>
      <c r="D660" s="4">
        <f t="shared" si="52"/>
        <v>2023</v>
      </c>
      <c r="E660" s="4" t="str">
        <f t="shared" si="53"/>
        <v>Sun</v>
      </c>
      <c r="F660" s="4" t="str">
        <f t="shared" si="54"/>
        <v>Mar</v>
      </c>
      <c r="G660" s="3">
        <v>45004</v>
      </c>
      <c r="H660" s="4" t="s">
        <v>802</v>
      </c>
      <c r="I660" s="4" t="s">
        <v>3</v>
      </c>
      <c r="J660" s="4" t="str" cm="1">
        <f t="array" ref="J660">_xlfn.IFS(K660&gt;=50, "Senior", K660&gt;=30, "Adult", K660&lt;30,"Young Adult")</f>
        <v>Adult</v>
      </c>
      <c r="K660" s="4">
        <v>34</v>
      </c>
      <c r="L660" s="4" t="s">
        <v>8</v>
      </c>
      <c r="M660" s="4">
        <v>1</v>
      </c>
      <c r="N660" s="22">
        <v>30</v>
      </c>
      <c r="O660" s="24">
        <f>M660 * N660</f>
        <v>30</v>
      </c>
      <c r="P660" s="16">
        <f>O660 * $S$3</f>
        <v>0.44999999999999996</v>
      </c>
      <c r="Q660" s="16">
        <f>O660 * $S$4</f>
        <v>0.6</v>
      </c>
    </row>
    <row r="661" spans="1:17">
      <c r="A661" s="2">
        <v>660</v>
      </c>
      <c r="B661" s="4">
        <f t="shared" si="50"/>
        <v>29</v>
      </c>
      <c r="C661" s="4">
        <f t="shared" si="51"/>
        <v>4</v>
      </c>
      <c r="D661" s="4">
        <f t="shared" si="52"/>
        <v>2023</v>
      </c>
      <c r="E661" s="4" t="str">
        <f t="shared" si="53"/>
        <v>Sat</v>
      </c>
      <c r="F661" s="4" t="str">
        <f t="shared" si="54"/>
        <v>Apr</v>
      </c>
      <c r="G661" s="3">
        <v>45045</v>
      </c>
      <c r="H661" s="4" t="s">
        <v>100</v>
      </c>
      <c r="I661" s="4" t="s">
        <v>3</v>
      </c>
      <c r="J661" s="4" t="str" cm="1">
        <f t="array" ref="J661">_xlfn.IFS(K661&gt;=50, "Senior", K661&gt;=30, "Adult", K661&lt;30,"Young Adult")</f>
        <v>Adult</v>
      </c>
      <c r="K661" s="4">
        <v>34</v>
      </c>
      <c r="L661" s="4" t="s">
        <v>6</v>
      </c>
      <c r="M661" s="4">
        <v>2</v>
      </c>
      <c r="N661" s="22">
        <v>500</v>
      </c>
      <c r="O661" s="24">
        <f>M661 * N661</f>
        <v>1000</v>
      </c>
      <c r="P661" s="16">
        <f>O661 * $S$3</f>
        <v>15</v>
      </c>
      <c r="Q661" s="16">
        <f>O661 * $S$4</f>
        <v>20</v>
      </c>
    </row>
    <row r="662" spans="1:17">
      <c r="A662" s="2">
        <v>661</v>
      </c>
      <c r="B662" s="4">
        <f t="shared" si="50"/>
        <v>16</v>
      </c>
      <c r="C662" s="4">
        <f t="shared" si="51"/>
        <v>7</v>
      </c>
      <c r="D662" s="4">
        <f t="shared" si="52"/>
        <v>2023</v>
      </c>
      <c r="E662" s="4" t="str">
        <f t="shared" si="53"/>
        <v>Sun</v>
      </c>
      <c r="F662" s="4" t="str">
        <f t="shared" si="54"/>
        <v>Jul</v>
      </c>
      <c r="G662" s="3">
        <v>45123</v>
      </c>
      <c r="H662" s="4" t="s">
        <v>229</v>
      </c>
      <c r="I662" s="4" t="s">
        <v>3</v>
      </c>
      <c r="J662" s="4" t="str" cm="1">
        <f t="array" ref="J662">_xlfn.IFS(K662&gt;=50, "Senior", K662&gt;=30, "Adult", K662&lt;30,"Young Adult")</f>
        <v>Adult</v>
      </c>
      <c r="K662" s="4">
        <v>34</v>
      </c>
      <c r="L662" s="4" t="s">
        <v>7</v>
      </c>
      <c r="M662" s="4">
        <v>4</v>
      </c>
      <c r="N662" s="22">
        <v>25</v>
      </c>
      <c r="O662" s="24">
        <f>M662 * N662</f>
        <v>100</v>
      </c>
      <c r="P662" s="16">
        <f>O662 * $S$3</f>
        <v>1.5</v>
      </c>
      <c r="Q662" s="16">
        <f>O662 * $S$4</f>
        <v>2</v>
      </c>
    </row>
    <row r="663" spans="1:17">
      <c r="A663" s="2">
        <v>662</v>
      </c>
      <c r="B663" s="4">
        <f t="shared" si="50"/>
        <v>22</v>
      </c>
      <c r="C663" s="4">
        <f t="shared" si="51"/>
        <v>12</v>
      </c>
      <c r="D663" s="4">
        <f t="shared" si="52"/>
        <v>2023</v>
      </c>
      <c r="E663" s="4" t="str">
        <f t="shared" si="53"/>
        <v>Fri</v>
      </c>
      <c r="F663" s="4" t="str">
        <f t="shared" si="54"/>
        <v>Dec</v>
      </c>
      <c r="G663" s="3">
        <v>45282</v>
      </c>
      <c r="H663" s="4" t="s">
        <v>98</v>
      </c>
      <c r="I663" s="4" t="s">
        <v>4</v>
      </c>
      <c r="J663" s="4" t="str" cm="1">
        <f t="array" ref="J663">_xlfn.IFS(K663&gt;=50, "Senior", K663&gt;=30, "Adult", K663&lt;30,"Young Adult")</f>
        <v>Adult</v>
      </c>
      <c r="K663" s="4">
        <v>34</v>
      </c>
      <c r="L663" s="4" t="s">
        <v>6</v>
      </c>
      <c r="M663" s="4">
        <v>2</v>
      </c>
      <c r="N663" s="22">
        <v>500</v>
      </c>
      <c r="O663" s="24">
        <f>M663 * N663</f>
        <v>1000</v>
      </c>
      <c r="P663" s="16">
        <f>O663 * $S$3</f>
        <v>15</v>
      </c>
      <c r="Q663" s="16">
        <f>O663 * $S$4</f>
        <v>20</v>
      </c>
    </row>
    <row r="664" spans="1:17">
      <c r="A664" s="2">
        <v>663</v>
      </c>
      <c r="B664" s="4">
        <f t="shared" si="50"/>
        <v>20</v>
      </c>
      <c r="C664" s="4">
        <f t="shared" si="51"/>
        <v>3</v>
      </c>
      <c r="D664" s="4">
        <f t="shared" si="52"/>
        <v>2023</v>
      </c>
      <c r="E664" s="4" t="str">
        <f t="shared" si="53"/>
        <v>Mon</v>
      </c>
      <c r="F664" s="4" t="str">
        <f t="shared" si="54"/>
        <v>Mar</v>
      </c>
      <c r="G664" s="3">
        <v>45005</v>
      </c>
      <c r="H664" s="4" t="s">
        <v>803</v>
      </c>
      <c r="I664" s="4" t="s">
        <v>4</v>
      </c>
      <c r="J664" s="4" t="str" cm="1">
        <f t="array" ref="J664">_xlfn.IFS(K664&gt;=50, "Senior", K664&gt;=30, "Adult", K664&lt;30,"Young Adult")</f>
        <v>Adult</v>
      </c>
      <c r="K664" s="4">
        <v>34</v>
      </c>
      <c r="L664" s="4" t="s">
        <v>7</v>
      </c>
      <c r="M664" s="4">
        <v>4</v>
      </c>
      <c r="N664" s="22">
        <v>300</v>
      </c>
      <c r="O664" s="24">
        <f>M664 * N664</f>
        <v>1200</v>
      </c>
      <c r="P664" s="16">
        <f>O664 * $S$3</f>
        <v>18</v>
      </c>
      <c r="Q664" s="16">
        <f>O664 * $S$4</f>
        <v>24</v>
      </c>
    </row>
    <row r="665" spans="1:17">
      <c r="A665" s="2">
        <v>664</v>
      </c>
      <c r="B665" s="4">
        <f t="shared" si="50"/>
        <v>28</v>
      </c>
      <c r="C665" s="4">
        <f t="shared" si="51"/>
        <v>12</v>
      </c>
      <c r="D665" s="4">
        <f t="shared" si="52"/>
        <v>2023</v>
      </c>
      <c r="E665" s="4" t="str">
        <f t="shared" si="53"/>
        <v>Thu</v>
      </c>
      <c r="F665" s="4" t="str">
        <f t="shared" si="54"/>
        <v>Dec</v>
      </c>
      <c r="G665" s="3">
        <v>45288</v>
      </c>
      <c r="H665" s="4" t="s">
        <v>228</v>
      </c>
      <c r="I665" s="4" t="s">
        <v>3</v>
      </c>
      <c r="J665" s="4" t="str" cm="1">
        <f t="array" ref="J665">_xlfn.IFS(K665&gt;=50, "Senior", K665&gt;=30, "Adult", K665&lt;30,"Young Adult")</f>
        <v>Adult</v>
      </c>
      <c r="K665" s="4">
        <v>34</v>
      </c>
      <c r="L665" s="4" t="s">
        <v>7</v>
      </c>
      <c r="M665" s="4">
        <v>4</v>
      </c>
      <c r="N665" s="22">
        <v>500</v>
      </c>
      <c r="O665" s="24">
        <f>M665 * N665</f>
        <v>2000</v>
      </c>
      <c r="P665" s="16">
        <f>O665 * $S$3</f>
        <v>30</v>
      </c>
      <c r="Q665" s="16">
        <f>O665 * $S$4</f>
        <v>40</v>
      </c>
    </row>
    <row r="666" spans="1:17">
      <c r="A666" s="2">
        <v>665</v>
      </c>
      <c r="B666" s="4">
        <f t="shared" si="50"/>
        <v>20</v>
      </c>
      <c r="C666" s="4">
        <f t="shared" si="51"/>
        <v>4</v>
      </c>
      <c r="D666" s="4">
        <f t="shared" si="52"/>
        <v>2023</v>
      </c>
      <c r="E666" s="4" t="str">
        <f t="shared" si="53"/>
        <v>Thu</v>
      </c>
      <c r="F666" s="4" t="str">
        <f t="shared" si="54"/>
        <v>Apr</v>
      </c>
      <c r="G666" s="3">
        <v>45036</v>
      </c>
      <c r="H666" s="4" t="s">
        <v>804</v>
      </c>
      <c r="I666" s="4" t="s">
        <v>4</v>
      </c>
      <c r="J666" s="4" t="str" cm="1">
        <f t="array" ref="J666">_xlfn.IFS(K666&gt;=50, "Senior", K666&gt;=30, "Adult", K666&lt;30,"Young Adult")</f>
        <v>Adult</v>
      </c>
      <c r="K666" s="4">
        <v>34</v>
      </c>
      <c r="L666" s="4" t="s">
        <v>7</v>
      </c>
      <c r="M666" s="4">
        <v>1</v>
      </c>
      <c r="N666" s="22">
        <v>50</v>
      </c>
      <c r="O666" s="24">
        <f>M666 * N666</f>
        <v>50</v>
      </c>
      <c r="P666" s="16">
        <f>O666 * $S$3</f>
        <v>0.75</v>
      </c>
      <c r="Q666" s="16">
        <f>O666 * $S$4</f>
        <v>1</v>
      </c>
    </row>
    <row r="667" spans="1:17">
      <c r="A667" s="2">
        <v>666</v>
      </c>
      <c r="B667" s="4">
        <f t="shared" si="50"/>
        <v>2</v>
      </c>
      <c r="C667" s="4">
        <f t="shared" si="51"/>
        <v>2</v>
      </c>
      <c r="D667" s="4">
        <f t="shared" si="52"/>
        <v>2023</v>
      </c>
      <c r="E667" s="4" t="str">
        <f t="shared" si="53"/>
        <v>Thu</v>
      </c>
      <c r="F667" s="4" t="str">
        <f t="shared" si="54"/>
        <v>Feb</v>
      </c>
      <c r="G667" s="3">
        <v>44959</v>
      </c>
      <c r="H667" s="4" t="s">
        <v>805</v>
      </c>
      <c r="I667" s="4" t="s">
        <v>4</v>
      </c>
      <c r="J667" s="4" t="str" cm="1">
        <f t="array" ref="J667">_xlfn.IFS(K667&gt;=50, "Senior", K667&gt;=30, "Adult", K667&lt;30,"Young Adult")</f>
        <v>Adult</v>
      </c>
      <c r="K667" s="4">
        <v>34</v>
      </c>
      <c r="L667" s="4" t="s">
        <v>8</v>
      </c>
      <c r="M667" s="4">
        <v>3</v>
      </c>
      <c r="N667" s="22">
        <v>50</v>
      </c>
      <c r="O667" s="24">
        <f>M667 * N667</f>
        <v>150</v>
      </c>
      <c r="P667" s="16">
        <f>O667 * $S$3</f>
        <v>2.25</v>
      </c>
      <c r="Q667" s="16">
        <f>O667 * $S$4</f>
        <v>3</v>
      </c>
    </row>
    <row r="668" spans="1:17">
      <c r="A668" s="2">
        <v>667</v>
      </c>
      <c r="B668" s="4">
        <f t="shared" si="50"/>
        <v>1</v>
      </c>
      <c r="C668" s="4">
        <f t="shared" si="51"/>
        <v>8</v>
      </c>
      <c r="D668" s="4">
        <f t="shared" si="52"/>
        <v>2023</v>
      </c>
      <c r="E668" s="4" t="str">
        <f t="shared" si="53"/>
        <v>Tue</v>
      </c>
      <c r="F668" s="4" t="str">
        <f t="shared" si="54"/>
        <v>Aug</v>
      </c>
      <c r="G668" s="3">
        <v>45139</v>
      </c>
      <c r="H668" s="4" t="s">
        <v>806</v>
      </c>
      <c r="I668" s="4" t="s">
        <v>3</v>
      </c>
      <c r="J668" s="4" t="str" cm="1">
        <f t="array" ref="J668">_xlfn.IFS(K668&gt;=50, "Senior", K668&gt;=30, "Adult", K668&lt;30,"Young Adult")</f>
        <v>Adult</v>
      </c>
      <c r="K668" s="4">
        <v>34</v>
      </c>
      <c r="L668" s="4" t="s">
        <v>8</v>
      </c>
      <c r="M668" s="4">
        <v>1</v>
      </c>
      <c r="N668" s="22">
        <v>500</v>
      </c>
      <c r="O668" s="24">
        <f>M668 * N668</f>
        <v>500</v>
      </c>
      <c r="P668" s="16">
        <f>O668 * $S$3</f>
        <v>7.5</v>
      </c>
      <c r="Q668" s="16">
        <f>O668 * $S$4</f>
        <v>10</v>
      </c>
    </row>
    <row r="669" spans="1:17">
      <c r="A669" s="2">
        <v>668</v>
      </c>
      <c r="B669" s="4">
        <f t="shared" si="50"/>
        <v>28</v>
      </c>
      <c r="C669" s="4">
        <f t="shared" si="51"/>
        <v>7</v>
      </c>
      <c r="D669" s="4">
        <f t="shared" si="52"/>
        <v>2023</v>
      </c>
      <c r="E669" s="4" t="str">
        <f t="shared" si="53"/>
        <v>Fri</v>
      </c>
      <c r="F669" s="4" t="str">
        <f t="shared" si="54"/>
        <v>Jul</v>
      </c>
      <c r="G669" s="3">
        <v>45135</v>
      </c>
      <c r="H669" s="4" t="s">
        <v>807</v>
      </c>
      <c r="I669" s="4" t="s">
        <v>3</v>
      </c>
      <c r="J669" s="4" t="str" cm="1">
        <f t="array" ref="J669">_xlfn.IFS(K669&gt;=50, "Senior", K669&gt;=30, "Adult", K669&lt;30,"Young Adult")</f>
        <v>Adult</v>
      </c>
      <c r="K669" s="4">
        <v>34</v>
      </c>
      <c r="L669" s="4" t="s">
        <v>8</v>
      </c>
      <c r="M669" s="4">
        <v>3</v>
      </c>
      <c r="N669" s="22">
        <v>50</v>
      </c>
      <c r="O669" s="24">
        <f>M669 * N669</f>
        <v>150</v>
      </c>
      <c r="P669" s="16">
        <f>O669 * $S$3</f>
        <v>2.25</v>
      </c>
      <c r="Q669" s="16">
        <f>O669 * $S$4</f>
        <v>3</v>
      </c>
    </row>
    <row r="670" spans="1:17">
      <c r="A670" s="2">
        <v>669</v>
      </c>
      <c r="B670" s="4">
        <f t="shared" si="50"/>
        <v>19</v>
      </c>
      <c r="C670" s="4">
        <f t="shared" si="51"/>
        <v>6</v>
      </c>
      <c r="D670" s="4">
        <f t="shared" si="52"/>
        <v>2023</v>
      </c>
      <c r="E670" s="4" t="str">
        <f t="shared" si="53"/>
        <v>Mon</v>
      </c>
      <c r="F670" s="4" t="str">
        <f t="shared" si="54"/>
        <v>Jun</v>
      </c>
      <c r="G670" s="3">
        <v>45096</v>
      </c>
      <c r="H670" s="4" t="s">
        <v>808</v>
      </c>
      <c r="I670" s="4" t="s">
        <v>4</v>
      </c>
      <c r="J670" s="4" t="str" cm="1">
        <f t="array" ref="J670">_xlfn.IFS(K670&gt;=50, "Senior", K670&gt;=30, "Adult", K670&lt;30,"Young Adult")</f>
        <v>Adult</v>
      </c>
      <c r="K670" s="4">
        <v>34</v>
      </c>
      <c r="L670" s="4" t="s">
        <v>6</v>
      </c>
      <c r="M670" s="4">
        <v>4</v>
      </c>
      <c r="N670" s="22">
        <v>300</v>
      </c>
      <c r="O670" s="24">
        <f>M670 * N670</f>
        <v>1200</v>
      </c>
      <c r="P670" s="16">
        <f>O670 * $S$3</f>
        <v>18</v>
      </c>
      <c r="Q670" s="16">
        <f>O670 * $S$4</f>
        <v>24</v>
      </c>
    </row>
    <row r="671" spans="1:17">
      <c r="A671" s="2">
        <v>670</v>
      </c>
      <c r="B671" s="4">
        <f t="shared" si="50"/>
        <v>5</v>
      </c>
      <c r="C671" s="4">
        <f t="shared" si="51"/>
        <v>10</v>
      </c>
      <c r="D671" s="4">
        <f t="shared" si="52"/>
        <v>2023</v>
      </c>
      <c r="E671" s="4" t="str">
        <f t="shared" si="53"/>
        <v>Thu</v>
      </c>
      <c r="F671" s="4" t="str">
        <f t="shared" si="54"/>
        <v>Oct</v>
      </c>
      <c r="G671" s="3">
        <v>45204</v>
      </c>
      <c r="H671" s="4" t="s">
        <v>809</v>
      </c>
      <c r="I671" s="4" t="s">
        <v>4</v>
      </c>
      <c r="J671" s="4" t="str" cm="1">
        <f t="array" ref="J671">_xlfn.IFS(K671&gt;=50, "Senior", K671&gt;=30, "Adult", K671&lt;30,"Young Adult")</f>
        <v>Adult</v>
      </c>
      <c r="K671" s="4">
        <v>34</v>
      </c>
      <c r="L671" s="4" t="s">
        <v>6</v>
      </c>
      <c r="M671" s="4">
        <v>1</v>
      </c>
      <c r="N671" s="22">
        <v>30</v>
      </c>
      <c r="O671" s="24">
        <f>M671 * N671</f>
        <v>30</v>
      </c>
      <c r="P671" s="16">
        <f>O671 * $S$3</f>
        <v>0.44999999999999996</v>
      </c>
      <c r="Q671" s="16">
        <f>O671 * $S$4</f>
        <v>0.6</v>
      </c>
    </row>
    <row r="672" spans="1:17">
      <c r="A672" s="2">
        <v>671</v>
      </c>
      <c r="B672" s="4">
        <f t="shared" si="50"/>
        <v>27</v>
      </c>
      <c r="C672" s="4">
        <f t="shared" si="51"/>
        <v>8</v>
      </c>
      <c r="D672" s="4">
        <f t="shared" si="52"/>
        <v>2023</v>
      </c>
      <c r="E672" s="4" t="str">
        <f t="shared" si="53"/>
        <v>Sun</v>
      </c>
      <c r="F672" s="4" t="str">
        <f t="shared" si="54"/>
        <v>Aug</v>
      </c>
      <c r="G672" s="3">
        <v>45165</v>
      </c>
      <c r="H672" s="4" t="s">
        <v>810</v>
      </c>
      <c r="I672" s="4" t="s">
        <v>4</v>
      </c>
      <c r="J672" s="4" t="str" cm="1">
        <f t="array" ref="J672">_xlfn.IFS(K672&gt;=50, "Senior", K672&gt;=30, "Adult", K672&lt;30,"Young Adult")</f>
        <v>Adult</v>
      </c>
      <c r="K672" s="4">
        <v>34</v>
      </c>
      <c r="L672" s="4" t="s">
        <v>8</v>
      </c>
      <c r="M672" s="4">
        <v>3</v>
      </c>
      <c r="N672" s="22">
        <v>50</v>
      </c>
      <c r="O672" s="24">
        <f>M672 * N672</f>
        <v>150</v>
      </c>
      <c r="P672" s="16">
        <f>O672 * $S$3</f>
        <v>2.25</v>
      </c>
      <c r="Q672" s="16">
        <f>O672 * $S$4</f>
        <v>3</v>
      </c>
    </row>
    <row r="673" spans="1:17">
      <c r="A673" s="2">
        <v>672</v>
      </c>
      <c r="B673" s="4">
        <f t="shared" si="50"/>
        <v>1</v>
      </c>
      <c r="C673" s="4">
        <f t="shared" si="51"/>
        <v>8</v>
      </c>
      <c r="D673" s="4">
        <f t="shared" si="52"/>
        <v>2023</v>
      </c>
      <c r="E673" s="4" t="str">
        <f t="shared" si="53"/>
        <v>Tue</v>
      </c>
      <c r="F673" s="4" t="str">
        <f t="shared" si="54"/>
        <v>Aug</v>
      </c>
      <c r="G673" s="3">
        <v>45139</v>
      </c>
      <c r="H673" s="4" t="s">
        <v>97</v>
      </c>
      <c r="I673" s="4" t="s">
        <v>3</v>
      </c>
      <c r="J673" s="4" t="str" cm="1">
        <f t="array" ref="J673">_xlfn.IFS(K673&gt;=50, "Senior", K673&gt;=30, "Adult", K673&lt;30,"Young Adult")</f>
        <v>Adult</v>
      </c>
      <c r="K673" s="4">
        <v>34</v>
      </c>
      <c r="L673" s="4" t="s">
        <v>6</v>
      </c>
      <c r="M673" s="4">
        <v>2</v>
      </c>
      <c r="N673" s="22">
        <v>50</v>
      </c>
      <c r="O673" s="24">
        <f>M673 * N673</f>
        <v>100</v>
      </c>
      <c r="P673" s="16">
        <f>O673 * $S$3</f>
        <v>1.5</v>
      </c>
      <c r="Q673" s="16">
        <f>O673 * $S$4</f>
        <v>2</v>
      </c>
    </row>
    <row r="674" spans="1:17">
      <c r="A674" s="2">
        <v>673</v>
      </c>
      <c r="B674" s="4">
        <f t="shared" si="50"/>
        <v>1</v>
      </c>
      <c r="C674" s="4">
        <f t="shared" si="51"/>
        <v>2</v>
      </c>
      <c r="D674" s="4">
        <f t="shared" si="52"/>
        <v>2023</v>
      </c>
      <c r="E674" s="4" t="str">
        <f t="shared" si="53"/>
        <v>Wed</v>
      </c>
      <c r="F674" s="4" t="str">
        <f t="shared" si="54"/>
        <v>Feb</v>
      </c>
      <c r="G674" s="3">
        <v>44958</v>
      </c>
      <c r="H674" s="4" t="s">
        <v>227</v>
      </c>
      <c r="I674" s="4" t="s">
        <v>3</v>
      </c>
      <c r="J674" s="4" t="str" cm="1">
        <f t="array" ref="J674">_xlfn.IFS(K674&gt;=50, "Senior", K674&gt;=30, "Adult", K674&lt;30,"Young Adult")</f>
        <v>Adult</v>
      </c>
      <c r="K674" s="4">
        <v>34</v>
      </c>
      <c r="L674" s="4" t="s">
        <v>7</v>
      </c>
      <c r="M674" s="4">
        <v>3</v>
      </c>
      <c r="N674" s="22">
        <v>500</v>
      </c>
      <c r="O674" s="24">
        <f>M674 * N674</f>
        <v>1500</v>
      </c>
      <c r="P674" s="16">
        <f>O674 * $S$3</f>
        <v>22.5</v>
      </c>
      <c r="Q674" s="16">
        <f>O674 * $S$4</f>
        <v>30</v>
      </c>
    </row>
    <row r="675" spans="1:17">
      <c r="A675" s="2">
        <v>674</v>
      </c>
      <c r="B675" s="4">
        <f t="shared" si="50"/>
        <v>16</v>
      </c>
      <c r="C675" s="4">
        <f t="shared" si="51"/>
        <v>4</v>
      </c>
      <c r="D675" s="4">
        <f t="shared" si="52"/>
        <v>2023</v>
      </c>
      <c r="E675" s="4" t="str">
        <f t="shared" si="53"/>
        <v>Sun</v>
      </c>
      <c r="F675" s="4" t="str">
        <f t="shared" si="54"/>
        <v>Apr</v>
      </c>
      <c r="G675" s="3">
        <v>45032</v>
      </c>
      <c r="H675" s="4" t="s">
        <v>226</v>
      </c>
      <c r="I675" s="4" t="s">
        <v>3</v>
      </c>
      <c r="J675" s="4" t="str" cm="1">
        <f t="array" ref="J675">_xlfn.IFS(K675&gt;=50, "Senior", K675&gt;=30, "Adult", K675&lt;30,"Young Adult")</f>
        <v>Adult</v>
      </c>
      <c r="K675" s="4">
        <v>34</v>
      </c>
      <c r="L675" s="4" t="s">
        <v>7</v>
      </c>
      <c r="M675" s="4">
        <v>1</v>
      </c>
      <c r="N675" s="22">
        <v>300</v>
      </c>
      <c r="O675" s="24">
        <f>M675 * N675</f>
        <v>300</v>
      </c>
      <c r="P675" s="16">
        <f>O675 * $S$3</f>
        <v>4.5</v>
      </c>
      <c r="Q675" s="16">
        <f>O675 * $S$4</f>
        <v>6</v>
      </c>
    </row>
    <row r="676" spans="1:17">
      <c r="A676" s="2">
        <v>675</v>
      </c>
      <c r="B676" s="4">
        <f t="shared" si="50"/>
        <v>4</v>
      </c>
      <c r="C676" s="4">
        <f t="shared" si="51"/>
        <v>8</v>
      </c>
      <c r="D676" s="4">
        <f t="shared" si="52"/>
        <v>2023</v>
      </c>
      <c r="E676" s="4" t="str">
        <f t="shared" si="53"/>
        <v>Fri</v>
      </c>
      <c r="F676" s="4" t="str">
        <f t="shared" si="54"/>
        <v>Aug</v>
      </c>
      <c r="G676" s="3">
        <v>45142</v>
      </c>
      <c r="H676" s="4" t="s">
        <v>225</v>
      </c>
      <c r="I676" s="4" t="s">
        <v>3</v>
      </c>
      <c r="J676" s="4" t="str" cm="1">
        <f t="array" ref="J676">_xlfn.IFS(K676&gt;=50, "Senior", K676&gt;=30, "Adult", K676&lt;30,"Young Adult")</f>
        <v>Adult</v>
      </c>
      <c r="K676" s="4">
        <v>34</v>
      </c>
      <c r="L676" s="4" t="s">
        <v>7</v>
      </c>
      <c r="M676" s="4">
        <v>2</v>
      </c>
      <c r="N676" s="22">
        <v>30</v>
      </c>
      <c r="O676" s="24">
        <f>M676 * N676</f>
        <v>60</v>
      </c>
      <c r="P676" s="16">
        <f>O676 * $S$3</f>
        <v>0.89999999999999991</v>
      </c>
      <c r="Q676" s="16">
        <f>O676 * $S$4</f>
        <v>1.2</v>
      </c>
    </row>
    <row r="677" spans="1:17">
      <c r="A677" s="2">
        <v>676</v>
      </c>
      <c r="B677" s="4">
        <f t="shared" si="50"/>
        <v>19</v>
      </c>
      <c r="C677" s="4">
        <f t="shared" si="51"/>
        <v>7</v>
      </c>
      <c r="D677" s="4">
        <f t="shared" si="52"/>
        <v>2023</v>
      </c>
      <c r="E677" s="4" t="str">
        <f t="shared" si="53"/>
        <v>Wed</v>
      </c>
      <c r="F677" s="4" t="str">
        <f t="shared" si="54"/>
        <v>Jul</v>
      </c>
      <c r="G677" s="3">
        <v>45126</v>
      </c>
      <c r="H677" s="4" t="s">
        <v>811</v>
      </c>
      <c r="I677" s="4" t="s">
        <v>4</v>
      </c>
      <c r="J677" s="4" t="str" cm="1">
        <f t="array" ref="J677">_xlfn.IFS(K677&gt;=50, "Senior", K677&gt;=30, "Adult", K677&lt;30,"Young Adult")</f>
        <v>Adult</v>
      </c>
      <c r="K677" s="4">
        <v>34</v>
      </c>
      <c r="L677" s="4" t="s">
        <v>8</v>
      </c>
      <c r="M677" s="4">
        <v>3</v>
      </c>
      <c r="N677" s="22">
        <v>500</v>
      </c>
      <c r="O677" s="24">
        <f>M677 * N677</f>
        <v>1500</v>
      </c>
      <c r="P677" s="16">
        <f>O677 * $S$3</f>
        <v>22.5</v>
      </c>
      <c r="Q677" s="16">
        <f>O677 * $S$4</f>
        <v>30</v>
      </c>
    </row>
    <row r="678" spans="1:17">
      <c r="A678" s="2">
        <v>677</v>
      </c>
      <c r="B678" s="4">
        <f t="shared" si="50"/>
        <v>27</v>
      </c>
      <c r="C678" s="4">
        <f t="shared" si="51"/>
        <v>10</v>
      </c>
      <c r="D678" s="4">
        <f t="shared" si="52"/>
        <v>2023</v>
      </c>
      <c r="E678" s="4" t="str">
        <f t="shared" si="53"/>
        <v>Fri</v>
      </c>
      <c r="F678" s="4" t="str">
        <f t="shared" si="54"/>
        <v>Oct</v>
      </c>
      <c r="G678" s="3">
        <v>45226</v>
      </c>
      <c r="H678" s="4" t="s">
        <v>812</v>
      </c>
      <c r="I678" s="4" t="s">
        <v>3</v>
      </c>
      <c r="J678" s="4" t="str" cm="1">
        <f t="array" ref="J678">_xlfn.IFS(K678&gt;=50, "Senior", K678&gt;=30, "Adult", K678&lt;30,"Young Adult")</f>
        <v>Adult</v>
      </c>
      <c r="K678" s="4">
        <v>33</v>
      </c>
      <c r="L678" s="4" t="s">
        <v>6</v>
      </c>
      <c r="M678" s="4">
        <v>3</v>
      </c>
      <c r="N678" s="22">
        <v>500</v>
      </c>
      <c r="O678" s="24">
        <f>M678 * N678</f>
        <v>1500</v>
      </c>
      <c r="P678" s="16">
        <f>O678 * $S$3</f>
        <v>22.5</v>
      </c>
      <c r="Q678" s="16">
        <f>O678 * $S$4</f>
        <v>30</v>
      </c>
    </row>
    <row r="679" spans="1:17">
      <c r="A679" s="2">
        <v>678</v>
      </c>
      <c r="B679" s="4">
        <f t="shared" si="50"/>
        <v>23</v>
      </c>
      <c r="C679" s="4">
        <f t="shared" si="51"/>
        <v>12</v>
      </c>
      <c r="D679" s="4">
        <f t="shared" si="52"/>
        <v>2023</v>
      </c>
      <c r="E679" s="4" t="str">
        <f t="shared" si="53"/>
        <v>Sat</v>
      </c>
      <c r="F679" s="4" t="str">
        <f t="shared" si="54"/>
        <v>Dec</v>
      </c>
      <c r="G679" s="3">
        <v>45283</v>
      </c>
      <c r="H679" s="4" t="s">
        <v>813</v>
      </c>
      <c r="I679" s="4" t="s">
        <v>3</v>
      </c>
      <c r="J679" s="4" t="str" cm="1">
        <f t="array" ref="J679">_xlfn.IFS(K679&gt;=50, "Senior", K679&gt;=30, "Adult", K679&lt;30,"Young Adult")</f>
        <v>Adult</v>
      </c>
      <c r="K679" s="4">
        <v>33</v>
      </c>
      <c r="L679" s="4" t="s">
        <v>8</v>
      </c>
      <c r="M679" s="4">
        <v>3</v>
      </c>
      <c r="N679" s="22">
        <v>300</v>
      </c>
      <c r="O679" s="24">
        <f>M679 * N679</f>
        <v>900</v>
      </c>
      <c r="P679" s="16">
        <f>O679 * $S$3</f>
        <v>13.5</v>
      </c>
      <c r="Q679" s="16">
        <f>O679 * $S$4</f>
        <v>18</v>
      </c>
    </row>
    <row r="680" spans="1:17">
      <c r="A680" s="2">
        <v>679</v>
      </c>
      <c r="B680" s="4">
        <f t="shared" si="50"/>
        <v>11</v>
      </c>
      <c r="C680" s="4">
        <f t="shared" si="51"/>
        <v>1</v>
      </c>
      <c r="D680" s="4">
        <f t="shared" si="52"/>
        <v>2023</v>
      </c>
      <c r="E680" s="4" t="str">
        <f t="shared" si="53"/>
        <v>Wed</v>
      </c>
      <c r="F680" s="4" t="str">
        <f t="shared" si="54"/>
        <v>Jan</v>
      </c>
      <c r="G680" s="3">
        <v>44937</v>
      </c>
      <c r="H680" s="4" t="s">
        <v>814</v>
      </c>
      <c r="I680" s="4" t="s">
        <v>3</v>
      </c>
      <c r="J680" s="4" t="str" cm="1">
        <f t="array" ref="J680">_xlfn.IFS(K680&gt;=50, "Senior", K680&gt;=30, "Adult", K680&lt;30,"Young Adult")</f>
        <v>Adult</v>
      </c>
      <c r="K680" s="4">
        <v>33</v>
      </c>
      <c r="L680" s="4" t="s">
        <v>6</v>
      </c>
      <c r="M680" s="4">
        <v>3</v>
      </c>
      <c r="N680" s="22">
        <v>30</v>
      </c>
      <c r="O680" s="24">
        <f>M680 * N680</f>
        <v>90</v>
      </c>
      <c r="P680" s="16">
        <f>O680 * $S$3</f>
        <v>1.3499999999999999</v>
      </c>
      <c r="Q680" s="16">
        <f>O680 * $S$4</f>
        <v>1.8</v>
      </c>
    </row>
    <row r="681" spans="1:17">
      <c r="A681" s="2">
        <v>680</v>
      </c>
      <c r="B681" s="4">
        <f t="shared" si="50"/>
        <v>22</v>
      </c>
      <c r="C681" s="4">
        <f t="shared" si="51"/>
        <v>10</v>
      </c>
      <c r="D681" s="4">
        <f t="shared" si="52"/>
        <v>2023</v>
      </c>
      <c r="E681" s="4" t="str">
        <f t="shared" si="53"/>
        <v>Sun</v>
      </c>
      <c r="F681" s="4" t="str">
        <f t="shared" si="54"/>
        <v>Oct</v>
      </c>
      <c r="G681" s="3">
        <v>45221</v>
      </c>
      <c r="H681" s="4" t="s">
        <v>815</v>
      </c>
      <c r="I681" s="4" t="s">
        <v>3</v>
      </c>
      <c r="J681" s="4" t="str" cm="1">
        <f t="array" ref="J681">_xlfn.IFS(K681&gt;=50, "Senior", K681&gt;=30, "Adult", K681&lt;30,"Young Adult")</f>
        <v>Adult</v>
      </c>
      <c r="K681" s="4">
        <v>33</v>
      </c>
      <c r="L681" s="4" t="s">
        <v>7</v>
      </c>
      <c r="M681" s="4">
        <v>3</v>
      </c>
      <c r="N681" s="22">
        <v>300</v>
      </c>
      <c r="O681" s="24">
        <f>M681 * N681</f>
        <v>900</v>
      </c>
      <c r="P681" s="16">
        <f>O681 * $S$3</f>
        <v>13.5</v>
      </c>
      <c r="Q681" s="16">
        <f>O681 * $S$4</f>
        <v>18</v>
      </c>
    </row>
    <row r="682" spans="1:17">
      <c r="A682" s="2">
        <v>681</v>
      </c>
      <c r="B682" s="4">
        <f t="shared" si="50"/>
        <v>14</v>
      </c>
      <c r="C682" s="4">
        <f t="shared" si="51"/>
        <v>7</v>
      </c>
      <c r="D682" s="4">
        <f t="shared" si="52"/>
        <v>2023</v>
      </c>
      <c r="E682" s="4" t="str">
        <f t="shared" si="53"/>
        <v>Fri</v>
      </c>
      <c r="F682" s="4" t="str">
        <f t="shared" si="54"/>
        <v>Jul</v>
      </c>
      <c r="G682" s="3">
        <v>45121</v>
      </c>
      <c r="H682" s="4" t="s">
        <v>816</v>
      </c>
      <c r="I682" s="4" t="s">
        <v>3</v>
      </c>
      <c r="J682" s="4" t="str" cm="1">
        <f t="array" ref="J682">_xlfn.IFS(K682&gt;=50, "Senior", K682&gt;=30, "Adult", K682&lt;30,"Young Adult")</f>
        <v>Adult</v>
      </c>
      <c r="K682" s="4">
        <v>33</v>
      </c>
      <c r="L682" s="4" t="s">
        <v>8</v>
      </c>
      <c r="M682" s="4">
        <v>2</v>
      </c>
      <c r="N682" s="22">
        <v>30</v>
      </c>
      <c r="O682" s="24">
        <f>M682 * N682</f>
        <v>60</v>
      </c>
      <c r="P682" s="16">
        <f>O682 * $S$3</f>
        <v>0.89999999999999991</v>
      </c>
      <c r="Q682" s="16">
        <f>O682 * $S$4</f>
        <v>1.2</v>
      </c>
    </row>
    <row r="683" spans="1:17">
      <c r="A683" s="2">
        <v>682</v>
      </c>
      <c r="B683" s="4">
        <f t="shared" si="50"/>
        <v>2</v>
      </c>
      <c r="C683" s="4">
        <f t="shared" si="51"/>
        <v>9</v>
      </c>
      <c r="D683" s="4">
        <f t="shared" si="52"/>
        <v>2023</v>
      </c>
      <c r="E683" s="4" t="str">
        <f t="shared" si="53"/>
        <v>Sat</v>
      </c>
      <c r="F683" s="4" t="str">
        <f t="shared" si="54"/>
        <v>Sep</v>
      </c>
      <c r="G683" s="3">
        <v>45171</v>
      </c>
      <c r="H683" s="4" t="s">
        <v>95</v>
      </c>
      <c r="I683" s="4" t="s">
        <v>4</v>
      </c>
      <c r="J683" s="4" t="str" cm="1">
        <f t="array" ref="J683">_xlfn.IFS(K683&gt;=50, "Senior", K683&gt;=30, "Adult", K683&lt;30,"Young Adult")</f>
        <v>Adult</v>
      </c>
      <c r="K683" s="4">
        <v>33</v>
      </c>
      <c r="L683" s="4" t="s">
        <v>6</v>
      </c>
      <c r="M683" s="4">
        <v>4</v>
      </c>
      <c r="N683" s="22">
        <v>300</v>
      </c>
      <c r="O683" s="24">
        <f>M683 * N683</f>
        <v>1200</v>
      </c>
      <c r="P683" s="16">
        <f>O683 * $S$3</f>
        <v>18</v>
      </c>
      <c r="Q683" s="16">
        <f>O683 * $S$4</f>
        <v>24</v>
      </c>
    </row>
    <row r="684" spans="1:17">
      <c r="A684" s="2">
        <v>683</v>
      </c>
      <c r="B684" s="4">
        <f t="shared" si="50"/>
        <v>4</v>
      </c>
      <c r="C684" s="4">
        <f t="shared" si="51"/>
        <v>1</v>
      </c>
      <c r="D684" s="4">
        <f t="shared" si="52"/>
        <v>2023</v>
      </c>
      <c r="E684" s="4" t="str">
        <f t="shared" si="53"/>
        <v>Wed</v>
      </c>
      <c r="F684" s="4" t="str">
        <f t="shared" si="54"/>
        <v>Jan</v>
      </c>
      <c r="G684" s="3">
        <v>44930</v>
      </c>
      <c r="H684" s="4" t="s">
        <v>94</v>
      </c>
      <c r="I684" s="4" t="s">
        <v>4</v>
      </c>
      <c r="J684" s="4" t="str" cm="1">
        <f t="array" ref="J684">_xlfn.IFS(K684&gt;=50, "Senior", K684&gt;=30, "Adult", K684&lt;30,"Young Adult")</f>
        <v>Adult</v>
      </c>
      <c r="K684" s="4">
        <v>33</v>
      </c>
      <c r="L684" s="4" t="s">
        <v>6</v>
      </c>
      <c r="M684" s="4">
        <v>2</v>
      </c>
      <c r="N684" s="22">
        <v>500</v>
      </c>
      <c r="O684" s="24">
        <f>M684 * N684</f>
        <v>1000</v>
      </c>
      <c r="P684" s="16">
        <f>O684 * $S$3</f>
        <v>15</v>
      </c>
      <c r="Q684" s="16">
        <f>O684 * $S$4</f>
        <v>20</v>
      </c>
    </row>
    <row r="685" spans="1:17">
      <c r="A685" s="2">
        <v>684</v>
      </c>
      <c r="B685" s="4">
        <f t="shared" si="50"/>
        <v>30</v>
      </c>
      <c r="C685" s="4">
        <f t="shared" si="51"/>
        <v>6</v>
      </c>
      <c r="D685" s="4">
        <f t="shared" si="52"/>
        <v>2023</v>
      </c>
      <c r="E685" s="4" t="str">
        <f t="shared" si="53"/>
        <v>Fri</v>
      </c>
      <c r="F685" s="4" t="str">
        <f t="shared" si="54"/>
        <v>Jun</v>
      </c>
      <c r="G685" s="3">
        <v>45107</v>
      </c>
      <c r="H685" s="4" t="s">
        <v>817</v>
      </c>
      <c r="I685" s="4" t="s">
        <v>3</v>
      </c>
      <c r="J685" s="4" t="str" cm="1">
        <f t="array" ref="J685">_xlfn.IFS(K685&gt;=50, "Senior", K685&gt;=30, "Adult", K685&lt;30,"Young Adult")</f>
        <v>Adult</v>
      </c>
      <c r="K685" s="4">
        <v>33</v>
      </c>
      <c r="L685" s="4" t="s">
        <v>7</v>
      </c>
      <c r="M685" s="4">
        <v>2</v>
      </c>
      <c r="N685" s="22">
        <v>500</v>
      </c>
      <c r="O685" s="24">
        <f>M685 * N685</f>
        <v>1000</v>
      </c>
      <c r="P685" s="16">
        <f>O685 * $S$3</f>
        <v>15</v>
      </c>
      <c r="Q685" s="16">
        <f>O685 * $S$4</f>
        <v>20</v>
      </c>
    </row>
    <row r="686" spans="1:17">
      <c r="A686" s="2">
        <v>685</v>
      </c>
      <c r="B686" s="4">
        <f t="shared" si="50"/>
        <v>2</v>
      </c>
      <c r="C686" s="4">
        <f t="shared" si="51"/>
        <v>6</v>
      </c>
      <c r="D686" s="4">
        <f t="shared" si="52"/>
        <v>2023</v>
      </c>
      <c r="E686" s="4" t="str">
        <f t="shared" si="53"/>
        <v>Fri</v>
      </c>
      <c r="F686" s="4" t="str">
        <f t="shared" si="54"/>
        <v>Jun</v>
      </c>
      <c r="G686" s="3">
        <v>45079</v>
      </c>
      <c r="H686" s="4" t="s">
        <v>818</v>
      </c>
      <c r="I686" s="4" t="s">
        <v>4</v>
      </c>
      <c r="J686" s="4" t="str" cm="1">
        <f t="array" ref="J686">_xlfn.IFS(K686&gt;=50, "Senior", K686&gt;=30, "Adult", K686&lt;30,"Young Adult")</f>
        <v>Adult</v>
      </c>
      <c r="K686" s="4">
        <v>33</v>
      </c>
      <c r="L686" s="4" t="s">
        <v>8</v>
      </c>
      <c r="M686" s="4">
        <v>2</v>
      </c>
      <c r="N686" s="22">
        <v>25</v>
      </c>
      <c r="O686" s="24">
        <f>M686 * N686</f>
        <v>50</v>
      </c>
      <c r="P686" s="16">
        <f>O686 * $S$3</f>
        <v>0.75</v>
      </c>
      <c r="Q686" s="16">
        <f>O686 * $S$4</f>
        <v>1</v>
      </c>
    </row>
    <row r="687" spans="1:17">
      <c r="A687" s="2">
        <v>686</v>
      </c>
      <c r="B687" s="4">
        <f t="shared" si="50"/>
        <v>19</v>
      </c>
      <c r="C687" s="4">
        <f t="shared" si="51"/>
        <v>7</v>
      </c>
      <c r="D687" s="4">
        <f t="shared" si="52"/>
        <v>2023</v>
      </c>
      <c r="E687" s="4" t="str">
        <f t="shared" si="53"/>
        <v>Wed</v>
      </c>
      <c r="F687" s="4" t="str">
        <f t="shared" si="54"/>
        <v>Jul</v>
      </c>
      <c r="G687" s="3">
        <v>45126</v>
      </c>
      <c r="H687" s="4" t="s">
        <v>819</v>
      </c>
      <c r="I687" s="4" t="s">
        <v>3</v>
      </c>
      <c r="J687" s="4" t="str" cm="1">
        <f t="array" ref="J687">_xlfn.IFS(K687&gt;=50, "Senior", K687&gt;=30, "Adult", K687&lt;30,"Young Adult")</f>
        <v>Adult</v>
      </c>
      <c r="K687" s="4">
        <v>33</v>
      </c>
      <c r="L687" s="4" t="s">
        <v>8</v>
      </c>
      <c r="M687" s="4">
        <v>4</v>
      </c>
      <c r="N687" s="22">
        <v>50</v>
      </c>
      <c r="O687" s="24">
        <f>M687 * N687</f>
        <v>200</v>
      </c>
      <c r="P687" s="16">
        <f>O687 * $S$3</f>
        <v>3</v>
      </c>
      <c r="Q687" s="16">
        <f>O687 * $S$4</f>
        <v>4</v>
      </c>
    </row>
    <row r="688" spans="1:17">
      <c r="A688" s="2">
        <v>687</v>
      </c>
      <c r="B688" s="4">
        <f t="shared" si="50"/>
        <v>3</v>
      </c>
      <c r="C688" s="4">
        <f t="shared" si="51"/>
        <v>8</v>
      </c>
      <c r="D688" s="4">
        <f t="shared" si="52"/>
        <v>2023</v>
      </c>
      <c r="E688" s="4" t="str">
        <f t="shared" si="53"/>
        <v>Thu</v>
      </c>
      <c r="F688" s="4" t="str">
        <f t="shared" si="54"/>
        <v>Aug</v>
      </c>
      <c r="G688" s="3">
        <v>45141</v>
      </c>
      <c r="H688" s="4" t="s">
        <v>820</v>
      </c>
      <c r="I688" s="4" t="s">
        <v>3</v>
      </c>
      <c r="J688" s="4" t="str" cm="1">
        <f t="array" ref="J688">_xlfn.IFS(K688&gt;=50, "Senior", K688&gt;=30, "Adult", K688&lt;30,"Young Adult")</f>
        <v>Adult</v>
      </c>
      <c r="K688" s="4">
        <v>32</v>
      </c>
      <c r="L688" s="4" t="s">
        <v>8</v>
      </c>
      <c r="M688" s="4">
        <v>1</v>
      </c>
      <c r="N688" s="22">
        <v>300</v>
      </c>
      <c r="O688" s="24">
        <f>M688 * N688</f>
        <v>300</v>
      </c>
      <c r="P688" s="16">
        <f>O688 * $S$3</f>
        <v>4.5</v>
      </c>
      <c r="Q688" s="16">
        <f>O688 * $S$4</f>
        <v>6</v>
      </c>
    </row>
    <row r="689" spans="1:17">
      <c r="A689" s="2">
        <v>688</v>
      </c>
      <c r="B689" s="4">
        <f t="shared" si="50"/>
        <v>3</v>
      </c>
      <c r="C689" s="4">
        <f t="shared" si="51"/>
        <v>10</v>
      </c>
      <c r="D689" s="4">
        <f t="shared" si="52"/>
        <v>2023</v>
      </c>
      <c r="E689" s="4" t="str">
        <f t="shared" si="53"/>
        <v>Tue</v>
      </c>
      <c r="F689" s="4" t="str">
        <f t="shared" si="54"/>
        <v>Oct</v>
      </c>
      <c r="G689" s="3">
        <v>45202</v>
      </c>
      <c r="H689" s="4" t="s">
        <v>821</v>
      </c>
      <c r="I689" s="4" t="s">
        <v>4</v>
      </c>
      <c r="J689" s="4" t="str" cm="1">
        <f t="array" ref="J689">_xlfn.IFS(K689&gt;=50, "Senior", K689&gt;=30, "Adult", K689&lt;30,"Young Adult")</f>
        <v>Adult</v>
      </c>
      <c r="K689" s="4">
        <v>32</v>
      </c>
      <c r="L689" s="4" t="s">
        <v>7</v>
      </c>
      <c r="M689" s="4">
        <v>4</v>
      </c>
      <c r="N689" s="22">
        <v>25</v>
      </c>
      <c r="O689" s="24">
        <f>M689 * N689</f>
        <v>100</v>
      </c>
      <c r="P689" s="16">
        <f>O689 * $S$3</f>
        <v>1.5</v>
      </c>
      <c r="Q689" s="16">
        <f>O689 * $S$4</f>
        <v>2</v>
      </c>
    </row>
    <row r="690" spans="1:17">
      <c r="A690" s="2">
        <v>689</v>
      </c>
      <c r="B690" s="4">
        <f t="shared" si="50"/>
        <v>7</v>
      </c>
      <c r="C690" s="4">
        <f t="shared" si="51"/>
        <v>10</v>
      </c>
      <c r="D690" s="4">
        <f t="shared" si="52"/>
        <v>2023</v>
      </c>
      <c r="E690" s="4" t="str">
        <f t="shared" si="53"/>
        <v>Sat</v>
      </c>
      <c r="F690" s="4" t="str">
        <f t="shared" si="54"/>
        <v>Oct</v>
      </c>
      <c r="G690" s="3">
        <v>45206</v>
      </c>
      <c r="H690" s="4" t="s">
        <v>822</v>
      </c>
      <c r="I690" s="4" t="s">
        <v>4</v>
      </c>
      <c r="J690" s="4" t="str" cm="1">
        <f t="array" ref="J690">_xlfn.IFS(K690&gt;=50, "Senior", K690&gt;=30, "Adult", K690&lt;30,"Young Adult")</f>
        <v>Adult</v>
      </c>
      <c r="K690" s="4">
        <v>32</v>
      </c>
      <c r="L690" s="4" t="s">
        <v>8</v>
      </c>
      <c r="M690" s="4">
        <v>2</v>
      </c>
      <c r="N690" s="22">
        <v>50</v>
      </c>
      <c r="O690" s="24">
        <f>M690 * N690</f>
        <v>100</v>
      </c>
      <c r="P690" s="16">
        <f>O690 * $S$3</f>
        <v>1.5</v>
      </c>
      <c r="Q690" s="16">
        <f>O690 * $S$4</f>
        <v>2</v>
      </c>
    </row>
    <row r="691" spans="1:17">
      <c r="A691" s="2">
        <v>690</v>
      </c>
      <c r="B691" s="4">
        <f t="shared" si="50"/>
        <v>5</v>
      </c>
      <c r="C691" s="4">
        <f t="shared" si="51"/>
        <v>11</v>
      </c>
      <c r="D691" s="4">
        <f t="shared" si="52"/>
        <v>2023</v>
      </c>
      <c r="E691" s="4" t="str">
        <f t="shared" si="53"/>
        <v>Sun</v>
      </c>
      <c r="F691" s="4" t="str">
        <f t="shared" si="54"/>
        <v>Nov</v>
      </c>
      <c r="G691" s="3">
        <v>45235</v>
      </c>
      <c r="H691" s="4" t="s">
        <v>823</v>
      </c>
      <c r="I691" s="4" t="s">
        <v>3</v>
      </c>
      <c r="J691" s="4" t="str" cm="1">
        <f t="array" ref="J691">_xlfn.IFS(K691&gt;=50, "Senior", K691&gt;=30, "Adult", K691&lt;30,"Young Adult")</f>
        <v>Adult</v>
      </c>
      <c r="K691" s="4">
        <v>32</v>
      </c>
      <c r="L691" s="4" t="s">
        <v>7</v>
      </c>
      <c r="M691" s="4">
        <v>3</v>
      </c>
      <c r="N691" s="22">
        <v>300</v>
      </c>
      <c r="O691" s="24">
        <f>M691 * N691</f>
        <v>900</v>
      </c>
      <c r="P691" s="16">
        <f>O691 * $S$3</f>
        <v>13.5</v>
      </c>
      <c r="Q691" s="16">
        <f>O691 * $S$4</f>
        <v>18</v>
      </c>
    </row>
    <row r="692" spans="1:17">
      <c r="A692" s="2">
        <v>691</v>
      </c>
      <c r="B692" s="4">
        <f t="shared" si="50"/>
        <v>23</v>
      </c>
      <c r="C692" s="4">
        <f t="shared" si="51"/>
        <v>4</v>
      </c>
      <c r="D692" s="4">
        <f t="shared" si="52"/>
        <v>2023</v>
      </c>
      <c r="E692" s="4" t="str">
        <f t="shared" si="53"/>
        <v>Sun</v>
      </c>
      <c r="F692" s="4" t="str">
        <f t="shared" si="54"/>
        <v>Apr</v>
      </c>
      <c r="G692" s="3">
        <v>45039</v>
      </c>
      <c r="H692" s="4" t="s">
        <v>824</v>
      </c>
      <c r="I692" s="4" t="s">
        <v>3</v>
      </c>
      <c r="J692" s="4" t="str" cm="1">
        <f t="array" ref="J692">_xlfn.IFS(K692&gt;=50, "Senior", K692&gt;=30, "Adult", K692&lt;30,"Young Adult")</f>
        <v>Adult</v>
      </c>
      <c r="K692" s="4">
        <v>32</v>
      </c>
      <c r="L692" s="4" t="s">
        <v>7</v>
      </c>
      <c r="M692" s="4">
        <v>3</v>
      </c>
      <c r="N692" s="22">
        <v>30</v>
      </c>
      <c r="O692" s="24">
        <f>M692 * N692</f>
        <v>90</v>
      </c>
      <c r="P692" s="16">
        <f>O692 * $S$3</f>
        <v>1.3499999999999999</v>
      </c>
      <c r="Q692" s="16">
        <f>O692 * $S$4</f>
        <v>1.8</v>
      </c>
    </row>
    <row r="693" spans="1:17">
      <c r="A693" s="2">
        <v>692</v>
      </c>
      <c r="B693" s="4">
        <f t="shared" si="50"/>
        <v>7</v>
      </c>
      <c r="C693" s="4">
        <f t="shared" si="51"/>
        <v>9</v>
      </c>
      <c r="D693" s="4">
        <f t="shared" si="52"/>
        <v>2023</v>
      </c>
      <c r="E693" s="4" t="str">
        <f t="shared" si="53"/>
        <v>Thu</v>
      </c>
      <c r="F693" s="4" t="str">
        <f t="shared" si="54"/>
        <v>Sep</v>
      </c>
      <c r="G693" s="3">
        <v>45176</v>
      </c>
      <c r="H693" s="4" t="s">
        <v>825</v>
      </c>
      <c r="I693" s="4" t="s">
        <v>3</v>
      </c>
      <c r="J693" s="4" t="str" cm="1">
        <f t="array" ref="J693">_xlfn.IFS(K693&gt;=50, "Senior", K693&gt;=30, "Adult", K693&lt;30,"Young Adult")</f>
        <v>Adult</v>
      </c>
      <c r="K693" s="4">
        <v>32</v>
      </c>
      <c r="L693" s="4" t="s">
        <v>7</v>
      </c>
      <c r="M693" s="4">
        <v>2</v>
      </c>
      <c r="N693" s="22">
        <v>50</v>
      </c>
      <c r="O693" s="24">
        <f>M693 * N693</f>
        <v>100</v>
      </c>
      <c r="P693" s="16">
        <f>O693 * $S$3</f>
        <v>1.5</v>
      </c>
      <c r="Q693" s="16">
        <f>O693 * $S$4</f>
        <v>2</v>
      </c>
    </row>
    <row r="694" spans="1:17">
      <c r="A694" s="2">
        <v>693</v>
      </c>
      <c r="B694" s="4">
        <f t="shared" si="50"/>
        <v>23</v>
      </c>
      <c r="C694" s="4">
        <f t="shared" si="51"/>
        <v>4</v>
      </c>
      <c r="D694" s="4">
        <f t="shared" si="52"/>
        <v>2023</v>
      </c>
      <c r="E694" s="4" t="str">
        <f t="shared" si="53"/>
        <v>Sun</v>
      </c>
      <c r="F694" s="4" t="str">
        <f t="shared" si="54"/>
        <v>Apr</v>
      </c>
      <c r="G694" s="3">
        <v>45039</v>
      </c>
      <c r="H694" s="4" t="s">
        <v>93</v>
      </c>
      <c r="I694" s="4" t="s">
        <v>4</v>
      </c>
      <c r="J694" s="4" t="str" cm="1">
        <f t="array" ref="J694">_xlfn.IFS(K694&gt;=50, "Senior", K694&gt;=30, "Adult", K694&lt;30,"Young Adult")</f>
        <v>Adult</v>
      </c>
      <c r="K694" s="4">
        <v>32</v>
      </c>
      <c r="L694" s="4" t="s">
        <v>6</v>
      </c>
      <c r="M694" s="4">
        <v>3</v>
      </c>
      <c r="N694" s="22">
        <v>500</v>
      </c>
      <c r="O694" s="24">
        <f>M694 * N694</f>
        <v>1500</v>
      </c>
      <c r="P694" s="16">
        <f>O694 * $S$3</f>
        <v>22.5</v>
      </c>
      <c r="Q694" s="16">
        <f>O694 * $S$4</f>
        <v>30</v>
      </c>
    </row>
    <row r="695" spans="1:17">
      <c r="A695" s="2">
        <v>694</v>
      </c>
      <c r="B695" s="4">
        <f t="shared" si="50"/>
        <v>20</v>
      </c>
      <c r="C695" s="4">
        <f t="shared" si="51"/>
        <v>5</v>
      </c>
      <c r="D695" s="4">
        <f t="shared" si="52"/>
        <v>2023</v>
      </c>
      <c r="E695" s="4" t="str">
        <f t="shared" si="53"/>
        <v>Sat</v>
      </c>
      <c r="F695" s="4" t="str">
        <f t="shared" si="54"/>
        <v>May</v>
      </c>
      <c r="G695" s="3">
        <v>45066</v>
      </c>
      <c r="H695" s="4" t="s">
        <v>826</v>
      </c>
      <c r="I695" s="4" t="s">
        <v>3</v>
      </c>
      <c r="J695" s="4" t="str" cm="1">
        <f t="array" ref="J695">_xlfn.IFS(K695&gt;=50, "Senior", K695&gt;=30, "Adult", K695&lt;30,"Young Adult")</f>
        <v>Adult</v>
      </c>
      <c r="K695" s="4">
        <v>32</v>
      </c>
      <c r="L695" s="4" t="s">
        <v>8</v>
      </c>
      <c r="M695" s="4">
        <v>2</v>
      </c>
      <c r="N695" s="22">
        <v>25</v>
      </c>
      <c r="O695" s="24">
        <f>M695 * N695</f>
        <v>50</v>
      </c>
      <c r="P695" s="16">
        <f>O695 * $S$3</f>
        <v>0.75</v>
      </c>
      <c r="Q695" s="16">
        <f>O695 * $S$4</f>
        <v>1</v>
      </c>
    </row>
    <row r="696" spans="1:17">
      <c r="A696" s="2">
        <v>695</v>
      </c>
      <c r="B696" s="4">
        <f t="shared" si="50"/>
        <v>12</v>
      </c>
      <c r="C696" s="4">
        <f t="shared" si="51"/>
        <v>8</v>
      </c>
      <c r="D696" s="4">
        <f t="shared" si="52"/>
        <v>2023</v>
      </c>
      <c r="E696" s="4" t="str">
        <f t="shared" si="53"/>
        <v>Sat</v>
      </c>
      <c r="F696" s="4" t="str">
        <f t="shared" si="54"/>
        <v>Aug</v>
      </c>
      <c r="G696" s="3">
        <v>45150</v>
      </c>
      <c r="H696" s="4" t="s">
        <v>827</v>
      </c>
      <c r="I696" s="4" t="s">
        <v>3</v>
      </c>
      <c r="J696" s="4" t="str" cm="1">
        <f t="array" ref="J696">_xlfn.IFS(K696&gt;=50, "Senior", K696&gt;=30, "Adult", K696&lt;30,"Young Adult")</f>
        <v>Adult</v>
      </c>
      <c r="K696" s="4">
        <v>32</v>
      </c>
      <c r="L696" s="4" t="s">
        <v>8</v>
      </c>
      <c r="M696" s="4">
        <v>3</v>
      </c>
      <c r="N696" s="22">
        <v>50</v>
      </c>
      <c r="O696" s="24">
        <f>M696 * N696</f>
        <v>150</v>
      </c>
      <c r="P696" s="16">
        <f>O696 * $S$3</f>
        <v>2.25</v>
      </c>
      <c r="Q696" s="16">
        <f>O696 * $S$4</f>
        <v>3</v>
      </c>
    </row>
    <row r="697" spans="1:17">
      <c r="A697" s="2">
        <v>696</v>
      </c>
      <c r="B697" s="4">
        <f t="shared" si="50"/>
        <v>6</v>
      </c>
      <c r="C697" s="4">
        <f t="shared" si="51"/>
        <v>9</v>
      </c>
      <c r="D697" s="4">
        <f t="shared" si="52"/>
        <v>2023</v>
      </c>
      <c r="E697" s="4" t="str">
        <f t="shared" si="53"/>
        <v>Wed</v>
      </c>
      <c r="F697" s="4" t="str">
        <f t="shared" si="54"/>
        <v>Sep</v>
      </c>
      <c r="G697" s="3">
        <v>45175</v>
      </c>
      <c r="H697" s="4" t="s">
        <v>828</v>
      </c>
      <c r="I697" s="4" t="s">
        <v>3</v>
      </c>
      <c r="J697" s="4" t="str" cm="1">
        <f t="array" ref="J697">_xlfn.IFS(K697&gt;=50, "Senior", K697&gt;=30, "Adult", K697&lt;30,"Young Adult")</f>
        <v>Adult</v>
      </c>
      <c r="K697" s="4">
        <v>32</v>
      </c>
      <c r="L697" s="4" t="s">
        <v>7</v>
      </c>
      <c r="M697" s="4">
        <v>4</v>
      </c>
      <c r="N697" s="22">
        <v>50</v>
      </c>
      <c r="O697" s="24">
        <f>M697 * N697</f>
        <v>200</v>
      </c>
      <c r="P697" s="16">
        <f>O697 * $S$3</f>
        <v>3</v>
      </c>
      <c r="Q697" s="16">
        <f>O697 * $S$4</f>
        <v>4</v>
      </c>
    </row>
    <row r="698" spans="1:17">
      <c r="A698" s="2">
        <v>697</v>
      </c>
      <c r="B698" s="4">
        <f t="shared" si="50"/>
        <v>15</v>
      </c>
      <c r="C698" s="4">
        <f t="shared" si="51"/>
        <v>1</v>
      </c>
      <c r="D698" s="4">
        <f t="shared" si="52"/>
        <v>2023</v>
      </c>
      <c r="E698" s="4" t="str">
        <f t="shared" si="53"/>
        <v>Sun</v>
      </c>
      <c r="F698" s="4" t="str">
        <f t="shared" si="54"/>
        <v>Jan</v>
      </c>
      <c r="G698" s="3">
        <v>44941</v>
      </c>
      <c r="H698" s="4" t="s">
        <v>829</v>
      </c>
      <c r="I698" s="4" t="s">
        <v>4</v>
      </c>
      <c r="J698" s="4" t="str" cm="1">
        <f t="array" ref="J698">_xlfn.IFS(K698&gt;=50, "Senior", K698&gt;=30, "Adult", K698&lt;30,"Young Adult")</f>
        <v>Adult</v>
      </c>
      <c r="K698" s="4">
        <v>32</v>
      </c>
      <c r="L698" s="4" t="s">
        <v>7</v>
      </c>
      <c r="M698" s="4">
        <v>1</v>
      </c>
      <c r="N698" s="22">
        <v>500</v>
      </c>
      <c r="O698" s="24">
        <f>M698 * N698</f>
        <v>500</v>
      </c>
      <c r="P698" s="16">
        <f>O698 * $S$3</f>
        <v>7.5</v>
      </c>
      <c r="Q698" s="16">
        <f>O698 * $S$4</f>
        <v>10</v>
      </c>
    </row>
    <row r="699" spans="1:17">
      <c r="A699" s="2">
        <v>698</v>
      </c>
      <c r="B699" s="4">
        <f t="shared" si="50"/>
        <v>19</v>
      </c>
      <c r="C699" s="4">
        <f t="shared" si="51"/>
        <v>7</v>
      </c>
      <c r="D699" s="4">
        <f t="shared" si="52"/>
        <v>2023</v>
      </c>
      <c r="E699" s="4" t="str">
        <f t="shared" si="53"/>
        <v>Wed</v>
      </c>
      <c r="F699" s="4" t="str">
        <f t="shared" si="54"/>
        <v>Jul</v>
      </c>
      <c r="G699" s="3">
        <v>45126</v>
      </c>
      <c r="H699" s="4" t="s">
        <v>830</v>
      </c>
      <c r="I699" s="4" t="s">
        <v>3</v>
      </c>
      <c r="J699" s="4" t="str" cm="1">
        <f t="array" ref="J699">_xlfn.IFS(K699&gt;=50, "Senior", K699&gt;=30, "Adult", K699&lt;30,"Young Adult")</f>
        <v>Adult</v>
      </c>
      <c r="K699" s="4">
        <v>32</v>
      </c>
      <c r="L699" s="4" t="s">
        <v>8</v>
      </c>
      <c r="M699" s="4">
        <v>1</v>
      </c>
      <c r="N699" s="22">
        <v>300</v>
      </c>
      <c r="O699" s="24">
        <f>M699 * N699</f>
        <v>300</v>
      </c>
      <c r="P699" s="16">
        <f>O699 * $S$3</f>
        <v>4.5</v>
      </c>
      <c r="Q699" s="16">
        <f>O699 * $S$4</f>
        <v>6</v>
      </c>
    </row>
    <row r="700" spans="1:17">
      <c r="A700" s="2">
        <v>699</v>
      </c>
      <c r="B700" s="4">
        <f t="shared" si="50"/>
        <v>22</v>
      </c>
      <c r="C700" s="4">
        <f t="shared" si="51"/>
        <v>6</v>
      </c>
      <c r="D700" s="4">
        <f t="shared" si="52"/>
        <v>2023</v>
      </c>
      <c r="E700" s="4" t="str">
        <f t="shared" si="53"/>
        <v>Thu</v>
      </c>
      <c r="F700" s="4" t="str">
        <f t="shared" si="54"/>
        <v>Jun</v>
      </c>
      <c r="G700" s="3">
        <v>45099</v>
      </c>
      <c r="H700" s="4" t="s">
        <v>224</v>
      </c>
      <c r="I700" s="4" t="s">
        <v>3</v>
      </c>
      <c r="J700" s="4" t="str" cm="1">
        <f t="array" ref="J700">_xlfn.IFS(K700&gt;=50, "Senior", K700&gt;=30, "Adult", K700&lt;30,"Young Adult")</f>
        <v>Adult</v>
      </c>
      <c r="K700" s="4">
        <v>32</v>
      </c>
      <c r="L700" s="4" t="s">
        <v>7</v>
      </c>
      <c r="M700" s="4">
        <v>4</v>
      </c>
      <c r="N700" s="22">
        <v>30</v>
      </c>
      <c r="O700" s="24">
        <f>M700 * N700</f>
        <v>120</v>
      </c>
      <c r="P700" s="16">
        <f>O700 * $S$3</f>
        <v>1.7999999999999998</v>
      </c>
      <c r="Q700" s="16">
        <f>O700 * $S$4</f>
        <v>2.4</v>
      </c>
    </row>
    <row r="701" spans="1:17">
      <c r="A701" s="2">
        <v>700</v>
      </c>
      <c r="B701" s="4">
        <f t="shared" si="50"/>
        <v>9</v>
      </c>
      <c r="C701" s="4">
        <f t="shared" si="51"/>
        <v>12</v>
      </c>
      <c r="D701" s="4">
        <f t="shared" si="52"/>
        <v>2023</v>
      </c>
      <c r="E701" s="4" t="str">
        <f t="shared" si="53"/>
        <v>Sat</v>
      </c>
      <c r="F701" s="4" t="str">
        <f t="shared" si="54"/>
        <v>Dec</v>
      </c>
      <c r="G701" s="3">
        <v>45269</v>
      </c>
      <c r="H701" s="4" t="s">
        <v>831</v>
      </c>
      <c r="I701" s="4" t="s">
        <v>4</v>
      </c>
      <c r="J701" s="4" t="str" cm="1">
        <f t="array" ref="J701">_xlfn.IFS(K701&gt;=50, "Senior", K701&gt;=30, "Adult", K701&lt;30,"Young Adult")</f>
        <v>Adult</v>
      </c>
      <c r="K701" s="4">
        <v>32</v>
      </c>
      <c r="L701" s="4" t="s">
        <v>8</v>
      </c>
      <c r="M701" s="4">
        <v>4</v>
      </c>
      <c r="N701" s="22">
        <v>500</v>
      </c>
      <c r="O701" s="24">
        <f>M701 * N701</f>
        <v>2000</v>
      </c>
      <c r="P701" s="16">
        <f>O701 * $S$3</f>
        <v>30</v>
      </c>
      <c r="Q701" s="16">
        <f>O701 * $S$4</f>
        <v>40</v>
      </c>
    </row>
    <row r="702" spans="1:17">
      <c r="A702" s="2">
        <v>701</v>
      </c>
      <c r="B702" s="4">
        <f t="shared" si="50"/>
        <v>14</v>
      </c>
      <c r="C702" s="4">
        <f t="shared" si="51"/>
        <v>12</v>
      </c>
      <c r="D702" s="4">
        <f t="shared" si="52"/>
        <v>2023</v>
      </c>
      <c r="E702" s="4" t="str">
        <f t="shared" si="53"/>
        <v>Thu</v>
      </c>
      <c r="F702" s="4" t="str">
        <f t="shared" si="54"/>
        <v>Dec</v>
      </c>
      <c r="G702" s="3">
        <v>45274</v>
      </c>
      <c r="H702" s="4" t="s">
        <v>832</v>
      </c>
      <c r="I702" s="4" t="s">
        <v>3</v>
      </c>
      <c r="J702" s="4" t="str" cm="1">
        <f t="array" ref="J702">_xlfn.IFS(K702&gt;=50, "Senior", K702&gt;=30, "Adult", K702&lt;30,"Young Adult")</f>
        <v>Adult</v>
      </c>
      <c r="K702" s="4">
        <v>32</v>
      </c>
      <c r="L702" s="4" t="s">
        <v>6</v>
      </c>
      <c r="M702" s="4">
        <v>2</v>
      </c>
      <c r="N702" s="22">
        <v>30</v>
      </c>
      <c r="O702" s="24">
        <f>M702 * N702</f>
        <v>60</v>
      </c>
      <c r="P702" s="16">
        <f>O702 * $S$3</f>
        <v>0.89999999999999991</v>
      </c>
      <c r="Q702" s="16">
        <f>O702 * $S$4</f>
        <v>1.2</v>
      </c>
    </row>
    <row r="703" spans="1:17">
      <c r="A703" s="2">
        <v>702</v>
      </c>
      <c r="B703" s="4">
        <f t="shared" si="50"/>
        <v>27</v>
      </c>
      <c r="C703" s="4">
        <f t="shared" si="51"/>
        <v>7</v>
      </c>
      <c r="D703" s="4">
        <f t="shared" si="52"/>
        <v>2023</v>
      </c>
      <c r="E703" s="4" t="str">
        <f t="shared" si="53"/>
        <v>Thu</v>
      </c>
      <c r="F703" s="4" t="str">
        <f t="shared" si="54"/>
        <v>Jul</v>
      </c>
      <c r="G703" s="3">
        <v>45134</v>
      </c>
      <c r="H703" s="4" t="s">
        <v>833</v>
      </c>
      <c r="I703" s="4" t="s">
        <v>3</v>
      </c>
      <c r="J703" s="4" t="str" cm="1">
        <f t="array" ref="J703">_xlfn.IFS(K703&gt;=50, "Senior", K703&gt;=30, "Adult", K703&lt;30,"Young Adult")</f>
        <v>Adult</v>
      </c>
      <c r="K703" s="4">
        <v>32</v>
      </c>
      <c r="L703" s="4" t="s">
        <v>7</v>
      </c>
      <c r="M703" s="4">
        <v>2</v>
      </c>
      <c r="N703" s="22">
        <v>300</v>
      </c>
      <c r="O703" s="24">
        <f>M703 * N703</f>
        <v>600</v>
      </c>
      <c r="P703" s="16">
        <f>O703 * $S$3</f>
        <v>9</v>
      </c>
      <c r="Q703" s="16">
        <f>O703 * $S$4</f>
        <v>12</v>
      </c>
    </row>
    <row r="704" spans="1:17">
      <c r="A704" s="2">
        <v>703</v>
      </c>
      <c r="B704" s="4">
        <f t="shared" si="50"/>
        <v>26</v>
      </c>
      <c r="C704" s="4">
        <f t="shared" si="51"/>
        <v>3</v>
      </c>
      <c r="D704" s="4">
        <f t="shared" si="52"/>
        <v>2023</v>
      </c>
      <c r="E704" s="4" t="str">
        <f t="shared" si="53"/>
        <v>Sun</v>
      </c>
      <c r="F704" s="4" t="str">
        <f t="shared" si="54"/>
        <v>Mar</v>
      </c>
      <c r="G704" s="3">
        <v>45011</v>
      </c>
      <c r="H704" s="4" t="s">
        <v>834</v>
      </c>
      <c r="I704" s="4" t="s">
        <v>4</v>
      </c>
      <c r="J704" s="4" t="str" cm="1">
        <f t="array" ref="J704">_xlfn.IFS(K704&gt;=50, "Senior", K704&gt;=30, "Adult", K704&lt;30,"Young Adult")</f>
        <v>Adult</v>
      </c>
      <c r="K704" s="4">
        <v>32</v>
      </c>
      <c r="L704" s="4" t="s">
        <v>8</v>
      </c>
      <c r="M704" s="4">
        <v>2</v>
      </c>
      <c r="N704" s="22">
        <v>50</v>
      </c>
      <c r="O704" s="24">
        <f>M704 * N704</f>
        <v>100</v>
      </c>
      <c r="P704" s="16">
        <f>O704 * $S$3</f>
        <v>1.5</v>
      </c>
      <c r="Q704" s="16">
        <f>O704 * $S$4</f>
        <v>2</v>
      </c>
    </row>
    <row r="705" spans="1:17">
      <c r="A705" s="2">
        <v>704</v>
      </c>
      <c r="B705" s="4">
        <f t="shared" si="50"/>
        <v>28</v>
      </c>
      <c r="C705" s="4">
        <f t="shared" si="51"/>
        <v>8</v>
      </c>
      <c r="D705" s="4">
        <f t="shared" si="52"/>
        <v>2023</v>
      </c>
      <c r="E705" s="4" t="str">
        <f t="shared" si="53"/>
        <v>Mon</v>
      </c>
      <c r="F705" s="4" t="str">
        <f t="shared" si="54"/>
        <v>Aug</v>
      </c>
      <c r="G705" s="3">
        <v>45166</v>
      </c>
      <c r="H705" s="4" t="s">
        <v>835</v>
      </c>
      <c r="I705" s="4" t="s">
        <v>3</v>
      </c>
      <c r="J705" s="4" t="str" cm="1">
        <f t="array" ref="J705">_xlfn.IFS(K705&gt;=50, "Senior", K705&gt;=30, "Adult", K705&lt;30,"Young Adult")</f>
        <v>Adult</v>
      </c>
      <c r="K705" s="4">
        <v>32</v>
      </c>
      <c r="L705" s="4" t="s">
        <v>7</v>
      </c>
      <c r="M705" s="4">
        <v>3</v>
      </c>
      <c r="N705" s="22">
        <v>30</v>
      </c>
      <c r="O705" s="24">
        <f>M705 * N705</f>
        <v>90</v>
      </c>
      <c r="P705" s="16">
        <f>O705 * $S$3</f>
        <v>1.3499999999999999</v>
      </c>
      <c r="Q705" s="16">
        <f>O705 * $S$4</f>
        <v>1.8</v>
      </c>
    </row>
    <row r="706" spans="1:17">
      <c r="A706" s="2">
        <v>705</v>
      </c>
      <c r="B706" s="4">
        <f t="shared" si="50"/>
        <v>7</v>
      </c>
      <c r="C706" s="4">
        <f t="shared" si="51"/>
        <v>3</v>
      </c>
      <c r="D706" s="4">
        <f t="shared" si="52"/>
        <v>2023</v>
      </c>
      <c r="E706" s="4" t="str">
        <f t="shared" si="53"/>
        <v>Tue</v>
      </c>
      <c r="F706" s="4" t="str">
        <f t="shared" si="54"/>
        <v>Mar</v>
      </c>
      <c r="G706" s="3">
        <v>44992</v>
      </c>
      <c r="H706" s="4" t="s">
        <v>836</v>
      </c>
      <c r="I706" s="4" t="s">
        <v>4</v>
      </c>
      <c r="J706" s="4" t="str" cm="1">
        <f t="array" ref="J706">_xlfn.IFS(K706&gt;=50, "Senior", K706&gt;=30, "Adult", K706&lt;30,"Young Adult")</f>
        <v>Adult</v>
      </c>
      <c r="K706" s="4">
        <v>32</v>
      </c>
      <c r="L706" s="4" t="s">
        <v>8</v>
      </c>
      <c r="M706" s="4">
        <v>2</v>
      </c>
      <c r="N706" s="22">
        <v>25</v>
      </c>
      <c r="O706" s="24">
        <f>M706 * N706</f>
        <v>50</v>
      </c>
      <c r="P706" s="16">
        <f>O706 * $S$3</f>
        <v>0.75</v>
      </c>
      <c r="Q706" s="16">
        <f>O706 * $S$4</f>
        <v>1</v>
      </c>
    </row>
    <row r="707" spans="1:17">
      <c r="A707" s="2">
        <v>706</v>
      </c>
      <c r="B707" s="4">
        <f t="shared" ref="B707:B770" si="55">DAY(G707)</f>
        <v>15</v>
      </c>
      <c r="C707" s="4">
        <f t="shared" ref="C707:C770" si="56">MONTH(G707)</f>
        <v>11</v>
      </c>
      <c r="D707" s="4">
        <f t="shared" ref="D707:D770" si="57">YEAR(G707)</f>
        <v>2023</v>
      </c>
      <c r="E707" s="4" t="str">
        <f t="shared" ref="E707:E770" si="58">TEXT(G707,"DDD")</f>
        <v>Wed</v>
      </c>
      <c r="F707" s="4" t="str">
        <f t="shared" ref="F707:F770" si="59">TEXT(G707,"MMM")</f>
        <v>Nov</v>
      </c>
      <c r="G707" s="3">
        <v>45245</v>
      </c>
      <c r="H707" s="4" t="s">
        <v>837</v>
      </c>
      <c r="I707" s="4" t="s">
        <v>4</v>
      </c>
      <c r="J707" s="4" t="str" cm="1">
        <f t="array" ref="J707">_xlfn.IFS(K707&gt;=50, "Senior", K707&gt;=30, "Adult", K707&lt;30,"Young Adult")</f>
        <v>Adult</v>
      </c>
      <c r="K707" s="4">
        <v>31</v>
      </c>
      <c r="L707" s="4" t="s">
        <v>8</v>
      </c>
      <c r="M707" s="4">
        <v>4</v>
      </c>
      <c r="N707" s="22">
        <v>25</v>
      </c>
      <c r="O707" s="24">
        <f>M707 * N707</f>
        <v>100</v>
      </c>
      <c r="P707" s="16">
        <f>O707 * $S$3</f>
        <v>1.5</v>
      </c>
      <c r="Q707" s="16">
        <f>O707 * $S$4</f>
        <v>2</v>
      </c>
    </row>
    <row r="708" spans="1:17">
      <c r="A708" s="2">
        <v>707</v>
      </c>
      <c r="B708" s="4">
        <f t="shared" si="55"/>
        <v>1</v>
      </c>
      <c r="C708" s="4">
        <f t="shared" si="56"/>
        <v>10</v>
      </c>
      <c r="D708" s="4">
        <f t="shared" si="57"/>
        <v>2023</v>
      </c>
      <c r="E708" s="4" t="str">
        <f t="shared" si="58"/>
        <v>Sun</v>
      </c>
      <c r="F708" s="4" t="str">
        <f t="shared" si="59"/>
        <v>Oct</v>
      </c>
      <c r="G708" s="3">
        <v>45200</v>
      </c>
      <c r="H708" s="4" t="s">
        <v>838</v>
      </c>
      <c r="I708" s="4" t="s">
        <v>3</v>
      </c>
      <c r="J708" s="4" t="str" cm="1">
        <f t="array" ref="J708">_xlfn.IFS(K708&gt;=50, "Senior", K708&gt;=30, "Adult", K708&lt;30,"Young Adult")</f>
        <v>Adult</v>
      </c>
      <c r="K708" s="4">
        <v>31</v>
      </c>
      <c r="L708" s="4" t="s">
        <v>7</v>
      </c>
      <c r="M708" s="4">
        <v>1</v>
      </c>
      <c r="N708" s="22">
        <v>500</v>
      </c>
      <c r="O708" s="24">
        <f>M708 * N708</f>
        <v>500</v>
      </c>
      <c r="P708" s="16">
        <f>O708 * $S$3</f>
        <v>7.5</v>
      </c>
      <c r="Q708" s="16">
        <f>O708 * $S$4</f>
        <v>10</v>
      </c>
    </row>
    <row r="709" spans="1:17">
      <c r="A709" s="2">
        <v>708</v>
      </c>
      <c r="B709" s="4">
        <f t="shared" si="55"/>
        <v>14</v>
      </c>
      <c r="C709" s="4">
        <f t="shared" si="56"/>
        <v>1</v>
      </c>
      <c r="D709" s="4">
        <f t="shared" si="57"/>
        <v>2023</v>
      </c>
      <c r="E709" s="4" t="str">
        <f t="shared" si="58"/>
        <v>Sat</v>
      </c>
      <c r="F709" s="4" t="str">
        <f t="shared" si="59"/>
        <v>Jan</v>
      </c>
      <c r="G709" s="3">
        <v>44940</v>
      </c>
      <c r="H709" s="4" t="s">
        <v>92</v>
      </c>
      <c r="I709" s="4" t="s">
        <v>3</v>
      </c>
      <c r="J709" s="4" t="str" cm="1">
        <f t="array" ref="J709">_xlfn.IFS(K709&gt;=50, "Senior", K709&gt;=30, "Adult", K709&lt;30,"Young Adult")</f>
        <v>Adult</v>
      </c>
      <c r="K709" s="4">
        <v>31</v>
      </c>
      <c r="L709" s="4" t="s">
        <v>6</v>
      </c>
      <c r="M709" s="4">
        <v>3</v>
      </c>
      <c r="N709" s="22">
        <v>300</v>
      </c>
      <c r="O709" s="24">
        <f>M709 * N709</f>
        <v>900</v>
      </c>
      <c r="P709" s="16">
        <f>O709 * $S$3</f>
        <v>13.5</v>
      </c>
      <c r="Q709" s="16">
        <f>O709 * $S$4</f>
        <v>18</v>
      </c>
    </row>
    <row r="710" spans="1:17">
      <c r="A710" s="2">
        <v>709</v>
      </c>
      <c r="B710" s="4">
        <f t="shared" si="55"/>
        <v>21</v>
      </c>
      <c r="C710" s="4">
        <f t="shared" si="56"/>
        <v>7</v>
      </c>
      <c r="D710" s="4">
        <f t="shared" si="57"/>
        <v>2023</v>
      </c>
      <c r="E710" s="4" t="str">
        <f t="shared" si="58"/>
        <v>Fri</v>
      </c>
      <c r="F710" s="4" t="str">
        <f t="shared" si="59"/>
        <v>Jul</v>
      </c>
      <c r="G710" s="3">
        <v>45128</v>
      </c>
      <c r="H710" s="4" t="s">
        <v>839</v>
      </c>
      <c r="I710" s="4" t="s">
        <v>3</v>
      </c>
      <c r="J710" s="4" t="str" cm="1">
        <f t="array" ref="J710">_xlfn.IFS(K710&gt;=50, "Senior", K710&gt;=30, "Adult", K710&lt;30,"Young Adult")</f>
        <v>Adult</v>
      </c>
      <c r="K710" s="4">
        <v>31</v>
      </c>
      <c r="L710" s="4" t="s">
        <v>8</v>
      </c>
      <c r="M710" s="4">
        <v>2</v>
      </c>
      <c r="N710" s="22">
        <v>500</v>
      </c>
      <c r="O710" s="24">
        <f>M710 * N710</f>
        <v>1000</v>
      </c>
      <c r="P710" s="16">
        <f>O710 * $S$3</f>
        <v>15</v>
      </c>
      <c r="Q710" s="16">
        <f>O710 * $S$4</f>
        <v>20</v>
      </c>
    </row>
    <row r="711" spans="1:17">
      <c r="A711" s="2">
        <v>710</v>
      </c>
      <c r="B711" s="4">
        <f t="shared" si="55"/>
        <v>31</v>
      </c>
      <c r="C711" s="4">
        <f t="shared" si="56"/>
        <v>10</v>
      </c>
      <c r="D711" s="4">
        <f t="shared" si="57"/>
        <v>2023</v>
      </c>
      <c r="E711" s="4" t="str">
        <f t="shared" si="58"/>
        <v>Tue</v>
      </c>
      <c r="F711" s="4" t="str">
        <f t="shared" si="59"/>
        <v>Oct</v>
      </c>
      <c r="G711" s="3">
        <v>45230</v>
      </c>
      <c r="H711" s="4" t="s">
        <v>840</v>
      </c>
      <c r="I711" s="4" t="s">
        <v>3</v>
      </c>
      <c r="J711" s="4" t="str" cm="1">
        <f t="array" ref="J711">_xlfn.IFS(K711&gt;=50, "Senior", K711&gt;=30, "Adult", K711&lt;30,"Young Adult")</f>
        <v>Adult</v>
      </c>
      <c r="K711" s="4">
        <v>31</v>
      </c>
      <c r="L711" s="4" t="s">
        <v>8</v>
      </c>
      <c r="M711" s="4">
        <v>3</v>
      </c>
      <c r="N711" s="22">
        <v>500</v>
      </c>
      <c r="O711" s="24">
        <f>M711 * N711</f>
        <v>1500</v>
      </c>
      <c r="P711" s="16">
        <f>O711 * $S$3</f>
        <v>22.5</v>
      </c>
      <c r="Q711" s="16">
        <f>O711 * $S$4</f>
        <v>30</v>
      </c>
    </row>
    <row r="712" spans="1:17">
      <c r="A712" s="2">
        <v>711</v>
      </c>
      <c r="B712" s="4">
        <f t="shared" si="55"/>
        <v>16</v>
      </c>
      <c r="C712" s="4">
        <f t="shared" si="56"/>
        <v>10</v>
      </c>
      <c r="D712" s="4">
        <f t="shared" si="57"/>
        <v>2023</v>
      </c>
      <c r="E712" s="4" t="str">
        <f t="shared" si="58"/>
        <v>Mon</v>
      </c>
      <c r="F712" s="4" t="str">
        <f t="shared" si="59"/>
        <v>Oct</v>
      </c>
      <c r="G712" s="3">
        <v>45215</v>
      </c>
      <c r="H712" s="4" t="s">
        <v>841</v>
      </c>
      <c r="I712" s="4" t="s">
        <v>4</v>
      </c>
      <c r="J712" s="4" t="str" cm="1">
        <f t="array" ref="J712">_xlfn.IFS(K712&gt;=50, "Senior", K712&gt;=30, "Adult", K712&lt;30,"Young Adult")</f>
        <v>Adult</v>
      </c>
      <c r="K712" s="4">
        <v>31</v>
      </c>
      <c r="L712" s="4" t="s">
        <v>8</v>
      </c>
      <c r="M712" s="4">
        <v>3</v>
      </c>
      <c r="N712" s="22">
        <v>500</v>
      </c>
      <c r="O712" s="24">
        <f>M712 * N712</f>
        <v>1500</v>
      </c>
      <c r="P712" s="16">
        <f>O712 * $S$3</f>
        <v>22.5</v>
      </c>
      <c r="Q712" s="16">
        <f>O712 * $S$4</f>
        <v>30</v>
      </c>
    </row>
    <row r="713" spans="1:17">
      <c r="A713" s="2">
        <v>712</v>
      </c>
      <c r="B713" s="4">
        <f t="shared" si="55"/>
        <v>6</v>
      </c>
      <c r="C713" s="4">
        <f t="shared" si="56"/>
        <v>12</v>
      </c>
      <c r="D713" s="4">
        <f t="shared" si="57"/>
        <v>2023</v>
      </c>
      <c r="E713" s="4" t="str">
        <f t="shared" si="58"/>
        <v>Wed</v>
      </c>
      <c r="F713" s="4" t="str">
        <f t="shared" si="59"/>
        <v>Dec</v>
      </c>
      <c r="G713" s="3">
        <v>45266</v>
      </c>
      <c r="H713" s="4" t="s">
        <v>842</v>
      </c>
      <c r="I713" s="4" t="s">
        <v>3</v>
      </c>
      <c r="J713" s="4" t="str" cm="1">
        <f t="array" ref="J713">_xlfn.IFS(K713&gt;=50, "Senior", K713&gt;=30, "Adult", K713&lt;30,"Young Adult")</f>
        <v>Adult</v>
      </c>
      <c r="K713" s="4">
        <v>31</v>
      </c>
      <c r="L713" s="4" t="s">
        <v>6</v>
      </c>
      <c r="M713" s="4">
        <v>2</v>
      </c>
      <c r="N713" s="22">
        <v>25</v>
      </c>
      <c r="O713" s="24">
        <f>M713 * N713</f>
        <v>50</v>
      </c>
      <c r="P713" s="16">
        <f>O713 * $S$3</f>
        <v>0.75</v>
      </c>
      <c r="Q713" s="16">
        <f>O713 * $S$4</f>
        <v>1</v>
      </c>
    </row>
    <row r="714" spans="1:17">
      <c r="A714" s="2">
        <v>713</v>
      </c>
      <c r="B714" s="4">
        <f t="shared" si="55"/>
        <v>14</v>
      </c>
      <c r="C714" s="4">
        <f t="shared" si="56"/>
        <v>1</v>
      </c>
      <c r="D714" s="4">
        <f t="shared" si="57"/>
        <v>2023</v>
      </c>
      <c r="E714" s="4" t="str">
        <f t="shared" si="58"/>
        <v>Sat</v>
      </c>
      <c r="F714" s="4" t="str">
        <f t="shared" si="59"/>
        <v>Jan</v>
      </c>
      <c r="G714" s="3">
        <v>44940</v>
      </c>
      <c r="H714" s="4" t="s">
        <v>90</v>
      </c>
      <c r="I714" s="4" t="s">
        <v>4</v>
      </c>
      <c r="J714" s="4" t="str" cm="1">
        <f t="array" ref="J714">_xlfn.IFS(K714&gt;=50, "Senior", K714&gt;=30, "Adult", K714&lt;30,"Young Adult")</f>
        <v>Adult</v>
      </c>
      <c r="K714" s="4">
        <v>31</v>
      </c>
      <c r="L714" s="4" t="s">
        <v>6</v>
      </c>
      <c r="M714" s="4">
        <v>3</v>
      </c>
      <c r="N714" s="22">
        <v>25</v>
      </c>
      <c r="O714" s="24">
        <f>M714 * N714</f>
        <v>75</v>
      </c>
      <c r="P714" s="16">
        <f>O714 * $S$3</f>
        <v>1.125</v>
      </c>
      <c r="Q714" s="16">
        <f>O714 * $S$4</f>
        <v>1.5</v>
      </c>
    </row>
    <row r="715" spans="1:17">
      <c r="A715" s="2">
        <v>714</v>
      </c>
      <c r="B715" s="4">
        <f t="shared" si="55"/>
        <v>12</v>
      </c>
      <c r="C715" s="4">
        <f t="shared" si="56"/>
        <v>2</v>
      </c>
      <c r="D715" s="4">
        <f t="shared" si="57"/>
        <v>2023</v>
      </c>
      <c r="E715" s="4" t="str">
        <f t="shared" si="58"/>
        <v>Sun</v>
      </c>
      <c r="F715" s="4" t="str">
        <f t="shared" si="59"/>
        <v>Feb</v>
      </c>
      <c r="G715" s="3">
        <v>44969</v>
      </c>
      <c r="H715" s="4" t="s">
        <v>843</v>
      </c>
      <c r="I715" s="4" t="s">
        <v>3</v>
      </c>
      <c r="J715" s="4" t="str" cm="1">
        <f t="array" ref="J715">_xlfn.IFS(K715&gt;=50, "Senior", K715&gt;=30, "Adult", K715&lt;30,"Young Adult")</f>
        <v>Adult</v>
      </c>
      <c r="K715" s="4">
        <v>31</v>
      </c>
      <c r="L715" s="4" t="s">
        <v>7</v>
      </c>
      <c r="M715" s="4">
        <v>1</v>
      </c>
      <c r="N715" s="22">
        <v>500</v>
      </c>
      <c r="O715" s="24">
        <f>M715 * N715</f>
        <v>500</v>
      </c>
      <c r="P715" s="16">
        <f>O715 * $S$3</f>
        <v>7.5</v>
      </c>
      <c r="Q715" s="16">
        <f>O715 * $S$4</f>
        <v>10</v>
      </c>
    </row>
    <row r="716" spans="1:17">
      <c r="A716" s="2">
        <v>715</v>
      </c>
      <c r="B716" s="4">
        <f t="shared" si="55"/>
        <v>26</v>
      </c>
      <c r="C716" s="4">
        <f t="shared" si="56"/>
        <v>11</v>
      </c>
      <c r="D716" s="4">
        <f t="shared" si="57"/>
        <v>2023</v>
      </c>
      <c r="E716" s="4" t="str">
        <f t="shared" si="58"/>
        <v>Sun</v>
      </c>
      <c r="F716" s="4" t="str">
        <f t="shared" si="59"/>
        <v>Nov</v>
      </c>
      <c r="G716" s="3">
        <v>45256</v>
      </c>
      <c r="H716" s="4" t="s">
        <v>89</v>
      </c>
      <c r="I716" s="4" t="s">
        <v>3</v>
      </c>
      <c r="J716" s="4" t="str" cm="1">
        <f t="array" ref="J716">_xlfn.IFS(K716&gt;=50, "Senior", K716&gt;=30, "Adult", K716&lt;30,"Young Adult")</f>
        <v>Adult</v>
      </c>
      <c r="K716" s="4">
        <v>31</v>
      </c>
      <c r="L716" s="4" t="s">
        <v>6</v>
      </c>
      <c r="M716" s="4">
        <v>4</v>
      </c>
      <c r="N716" s="22">
        <v>25</v>
      </c>
      <c r="O716" s="24">
        <f>M716 * N716</f>
        <v>100</v>
      </c>
      <c r="P716" s="16">
        <f>O716 * $S$3</f>
        <v>1.5</v>
      </c>
      <c r="Q716" s="16">
        <f>O716 * $S$4</f>
        <v>2</v>
      </c>
    </row>
    <row r="717" spans="1:17">
      <c r="A717" s="2">
        <v>716</v>
      </c>
      <c r="B717" s="4">
        <f t="shared" si="55"/>
        <v>8</v>
      </c>
      <c r="C717" s="4">
        <f t="shared" si="56"/>
        <v>8</v>
      </c>
      <c r="D717" s="4">
        <f t="shared" si="57"/>
        <v>2023</v>
      </c>
      <c r="E717" s="4" t="str">
        <f t="shared" si="58"/>
        <v>Tue</v>
      </c>
      <c r="F717" s="4" t="str">
        <f t="shared" si="59"/>
        <v>Aug</v>
      </c>
      <c r="G717" s="3">
        <v>45146</v>
      </c>
      <c r="H717" s="4" t="s">
        <v>844</v>
      </c>
      <c r="I717" s="4" t="s">
        <v>3</v>
      </c>
      <c r="J717" s="4" t="str" cm="1">
        <f t="array" ref="J717">_xlfn.IFS(K717&gt;=50, "Senior", K717&gt;=30, "Adult", K717&lt;30,"Young Adult")</f>
        <v>Adult</v>
      </c>
      <c r="K717" s="4">
        <v>31</v>
      </c>
      <c r="L717" s="4" t="s">
        <v>7</v>
      </c>
      <c r="M717" s="4">
        <v>4</v>
      </c>
      <c r="N717" s="22">
        <v>300</v>
      </c>
      <c r="O717" s="24">
        <f>M717 * N717</f>
        <v>1200</v>
      </c>
      <c r="P717" s="16">
        <f>O717 * $S$3</f>
        <v>18</v>
      </c>
      <c r="Q717" s="16">
        <f>O717 * $S$4</f>
        <v>24</v>
      </c>
    </row>
    <row r="718" spans="1:17">
      <c r="A718" s="2">
        <v>717</v>
      </c>
      <c r="B718" s="4">
        <f t="shared" si="55"/>
        <v>11</v>
      </c>
      <c r="C718" s="4">
        <f t="shared" si="56"/>
        <v>3</v>
      </c>
      <c r="D718" s="4">
        <f t="shared" si="57"/>
        <v>2023</v>
      </c>
      <c r="E718" s="4" t="str">
        <f t="shared" si="58"/>
        <v>Sat</v>
      </c>
      <c r="F718" s="4" t="str">
        <f t="shared" si="59"/>
        <v>Mar</v>
      </c>
      <c r="G718" s="3">
        <v>44996</v>
      </c>
      <c r="H718" s="4" t="s">
        <v>845</v>
      </c>
      <c r="I718" s="4" t="s">
        <v>4</v>
      </c>
      <c r="J718" s="4" t="str" cm="1">
        <f t="array" ref="J718">_xlfn.IFS(K718&gt;=50, "Senior", K718&gt;=30, "Adult", K718&lt;30,"Young Adult")</f>
        <v>Adult</v>
      </c>
      <c r="K718" s="4">
        <v>31</v>
      </c>
      <c r="L718" s="4" t="s">
        <v>7</v>
      </c>
      <c r="M718" s="4">
        <v>1</v>
      </c>
      <c r="N718" s="22">
        <v>500</v>
      </c>
      <c r="O718" s="24">
        <f>M718 * N718</f>
        <v>500</v>
      </c>
      <c r="P718" s="16">
        <f>O718 * $S$3</f>
        <v>7.5</v>
      </c>
      <c r="Q718" s="16">
        <f>O718 * $S$4</f>
        <v>10</v>
      </c>
    </row>
    <row r="719" spans="1:17">
      <c r="A719" s="2">
        <v>718</v>
      </c>
      <c r="B719" s="4">
        <f t="shared" si="55"/>
        <v>25</v>
      </c>
      <c r="C719" s="4">
        <f t="shared" si="56"/>
        <v>8</v>
      </c>
      <c r="D719" s="4">
        <f t="shared" si="57"/>
        <v>2023</v>
      </c>
      <c r="E719" s="4" t="str">
        <f t="shared" si="58"/>
        <v>Fri</v>
      </c>
      <c r="F719" s="4" t="str">
        <f t="shared" si="59"/>
        <v>Aug</v>
      </c>
      <c r="G719" s="3">
        <v>45163</v>
      </c>
      <c r="H719" s="4" t="s">
        <v>846</v>
      </c>
      <c r="I719" s="4" t="s">
        <v>3</v>
      </c>
      <c r="J719" s="4" t="str" cm="1">
        <f t="array" ref="J719">_xlfn.IFS(K719&gt;=50, "Senior", K719&gt;=30, "Adult", K719&lt;30,"Young Adult")</f>
        <v>Adult</v>
      </c>
      <c r="K719" s="4">
        <v>31</v>
      </c>
      <c r="L719" s="4" t="s">
        <v>6</v>
      </c>
      <c r="M719" s="4">
        <v>3</v>
      </c>
      <c r="N719" s="22">
        <v>25</v>
      </c>
      <c r="O719" s="24">
        <f>M719 * N719</f>
        <v>75</v>
      </c>
      <c r="P719" s="16">
        <f>O719 * $S$3</f>
        <v>1.125</v>
      </c>
      <c r="Q719" s="16">
        <f>O719 * $S$4</f>
        <v>1.5</v>
      </c>
    </row>
    <row r="720" spans="1:17">
      <c r="A720" s="2">
        <v>719</v>
      </c>
      <c r="B720" s="4">
        <f t="shared" si="55"/>
        <v>4</v>
      </c>
      <c r="C720" s="4">
        <f t="shared" si="56"/>
        <v>4</v>
      </c>
      <c r="D720" s="4">
        <f t="shared" si="57"/>
        <v>2023</v>
      </c>
      <c r="E720" s="4" t="str">
        <f t="shared" si="58"/>
        <v>Tue</v>
      </c>
      <c r="F720" s="4" t="str">
        <f t="shared" si="59"/>
        <v>Apr</v>
      </c>
      <c r="G720" s="3">
        <v>45020</v>
      </c>
      <c r="H720" s="4" t="s">
        <v>223</v>
      </c>
      <c r="I720" s="4" t="s">
        <v>3</v>
      </c>
      <c r="J720" s="4" t="str" cm="1">
        <f t="array" ref="J720">_xlfn.IFS(K720&gt;=50, "Senior", K720&gt;=30, "Adult", K720&lt;30,"Young Adult")</f>
        <v>Adult</v>
      </c>
      <c r="K720" s="4">
        <v>31</v>
      </c>
      <c r="L720" s="4" t="s">
        <v>7</v>
      </c>
      <c r="M720" s="4">
        <v>2</v>
      </c>
      <c r="N720" s="22">
        <v>30</v>
      </c>
      <c r="O720" s="24">
        <f>M720 * N720</f>
        <v>60</v>
      </c>
      <c r="P720" s="16">
        <f>O720 * $S$3</f>
        <v>0.89999999999999991</v>
      </c>
      <c r="Q720" s="16">
        <f>O720 * $S$4</f>
        <v>1.2</v>
      </c>
    </row>
    <row r="721" spans="1:17">
      <c r="A721" s="2">
        <v>720</v>
      </c>
      <c r="B721" s="4">
        <f t="shared" si="55"/>
        <v>26</v>
      </c>
      <c r="C721" s="4">
        <f t="shared" si="56"/>
        <v>1</v>
      </c>
      <c r="D721" s="4">
        <f t="shared" si="57"/>
        <v>2023</v>
      </c>
      <c r="E721" s="4" t="str">
        <f t="shared" si="58"/>
        <v>Thu</v>
      </c>
      <c r="F721" s="4" t="str">
        <f t="shared" si="59"/>
        <v>Jan</v>
      </c>
      <c r="G721" s="3">
        <v>44952</v>
      </c>
      <c r="H721" s="4" t="s">
        <v>847</v>
      </c>
      <c r="I721" s="4" t="s">
        <v>3</v>
      </c>
      <c r="J721" s="4" t="str" cm="1">
        <f t="array" ref="J721">_xlfn.IFS(K721&gt;=50, "Senior", K721&gt;=30, "Adult", K721&lt;30,"Young Adult")</f>
        <v>Adult</v>
      </c>
      <c r="K721" s="4">
        <v>31</v>
      </c>
      <c r="L721" s="4" t="s">
        <v>6</v>
      </c>
      <c r="M721" s="4">
        <v>3</v>
      </c>
      <c r="N721" s="22">
        <v>500</v>
      </c>
      <c r="O721" s="24">
        <f>M721 * N721</f>
        <v>1500</v>
      </c>
      <c r="P721" s="16">
        <f>O721 * $S$3</f>
        <v>22.5</v>
      </c>
      <c r="Q721" s="16">
        <f>O721 * $S$4</f>
        <v>30</v>
      </c>
    </row>
    <row r="722" spans="1:17">
      <c r="A722" s="2">
        <v>721</v>
      </c>
      <c r="B722" s="4">
        <f t="shared" si="55"/>
        <v>14</v>
      </c>
      <c r="C722" s="4">
        <f t="shared" si="56"/>
        <v>5</v>
      </c>
      <c r="D722" s="4">
        <f t="shared" si="57"/>
        <v>2023</v>
      </c>
      <c r="E722" s="4" t="str">
        <f t="shared" si="58"/>
        <v>Sun</v>
      </c>
      <c r="F722" s="4" t="str">
        <f t="shared" si="59"/>
        <v>May</v>
      </c>
      <c r="G722" s="3">
        <v>45060</v>
      </c>
      <c r="H722" s="4" t="s">
        <v>848</v>
      </c>
      <c r="I722" s="4" t="s">
        <v>3</v>
      </c>
      <c r="J722" s="4" t="str" cm="1">
        <f t="array" ref="J722">_xlfn.IFS(K722&gt;=50, "Senior", K722&gt;=30, "Adult", K722&lt;30,"Young Adult")</f>
        <v>Adult</v>
      </c>
      <c r="K722" s="4">
        <v>31</v>
      </c>
      <c r="L722" s="4" t="s">
        <v>7</v>
      </c>
      <c r="M722" s="4">
        <v>1</v>
      </c>
      <c r="N722" s="22">
        <v>500</v>
      </c>
      <c r="O722" s="24">
        <f>M722 * N722</f>
        <v>500</v>
      </c>
      <c r="P722" s="16">
        <f>O722 * $S$3</f>
        <v>7.5</v>
      </c>
      <c r="Q722" s="16">
        <f>O722 * $S$4</f>
        <v>10</v>
      </c>
    </row>
    <row r="723" spans="1:17">
      <c r="A723" s="2">
        <v>722</v>
      </c>
      <c r="B723" s="4">
        <f t="shared" si="55"/>
        <v>14</v>
      </c>
      <c r="C723" s="4">
        <f t="shared" si="56"/>
        <v>7</v>
      </c>
      <c r="D723" s="4">
        <f t="shared" si="57"/>
        <v>2023</v>
      </c>
      <c r="E723" s="4" t="str">
        <f t="shared" si="58"/>
        <v>Fri</v>
      </c>
      <c r="F723" s="4" t="str">
        <f t="shared" si="59"/>
        <v>Jul</v>
      </c>
      <c r="G723" s="3">
        <v>45121</v>
      </c>
      <c r="H723" s="4" t="s">
        <v>849</v>
      </c>
      <c r="I723" s="4" t="s">
        <v>4</v>
      </c>
      <c r="J723" s="4" t="str" cm="1">
        <f t="array" ref="J723">_xlfn.IFS(K723&gt;=50, "Senior", K723&gt;=30, "Adult", K723&lt;30,"Young Adult")</f>
        <v>Adult</v>
      </c>
      <c r="K723" s="4">
        <v>31</v>
      </c>
      <c r="L723" s="4" t="s">
        <v>6</v>
      </c>
      <c r="M723" s="4">
        <v>3</v>
      </c>
      <c r="N723" s="22">
        <v>300</v>
      </c>
      <c r="O723" s="24">
        <f>M723 * N723</f>
        <v>900</v>
      </c>
      <c r="P723" s="16">
        <f>O723 * $S$3</f>
        <v>13.5</v>
      </c>
      <c r="Q723" s="16">
        <f>O723 * $S$4</f>
        <v>18</v>
      </c>
    </row>
    <row r="724" spans="1:17">
      <c r="A724" s="2">
        <v>723</v>
      </c>
      <c r="B724" s="4">
        <f t="shared" si="55"/>
        <v>17</v>
      </c>
      <c r="C724" s="4">
        <f t="shared" si="56"/>
        <v>6</v>
      </c>
      <c r="D724" s="4">
        <f t="shared" si="57"/>
        <v>2023</v>
      </c>
      <c r="E724" s="4" t="str">
        <f t="shared" si="58"/>
        <v>Sat</v>
      </c>
      <c r="F724" s="4" t="str">
        <f t="shared" si="59"/>
        <v>Jun</v>
      </c>
      <c r="G724" s="3">
        <v>45094</v>
      </c>
      <c r="H724" s="4" t="s">
        <v>850</v>
      </c>
      <c r="I724" s="4" t="s">
        <v>3</v>
      </c>
      <c r="J724" s="4" t="str" cm="1">
        <f t="array" ref="J724">_xlfn.IFS(K724&gt;=50, "Senior", K724&gt;=30, "Adult", K724&lt;30,"Young Adult")</f>
        <v>Adult</v>
      </c>
      <c r="K724" s="4">
        <v>31</v>
      </c>
      <c r="L724" s="4" t="s">
        <v>6</v>
      </c>
      <c r="M724" s="4">
        <v>4</v>
      </c>
      <c r="N724" s="22">
        <v>50</v>
      </c>
      <c r="O724" s="24">
        <f>M724 * N724</f>
        <v>200</v>
      </c>
      <c r="P724" s="16">
        <f>O724 * $S$3</f>
        <v>3</v>
      </c>
      <c r="Q724" s="16">
        <f>O724 * $S$4</f>
        <v>4</v>
      </c>
    </row>
    <row r="725" spans="1:17">
      <c r="A725" s="2">
        <v>724</v>
      </c>
      <c r="B725" s="4">
        <f t="shared" si="55"/>
        <v>19</v>
      </c>
      <c r="C725" s="4">
        <f t="shared" si="56"/>
        <v>4</v>
      </c>
      <c r="D725" s="4">
        <f t="shared" si="57"/>
        <v>2023</v>
      </c>
      <c r="E725" s="4" t="str">
        <f t="shared" si="58"/>
        <v>Wed</v>
      </c>
      <c r="F725" s="4" t="str">
        <f t="shared" si="59"/>
        <v>Apr</v>
      </c>
      <c r="G725" s="3">
        <v>45035</v>
      </c>
      <c r="H725" s="4" t="s">
        <v>851</v>
      </c>
      <c r="I725" s="4" t="s">
        <v>4</v>
      </c>
      <c r="J725" s="4" t="str" cm="1">
        <f t="array" ref="J725">_xlfn.IFS(K725&gt;=50, "Senior", K725&gt;=30, "Adult", K725&lt;30,"Young Adult")</f>
        <v>Adult</v>
      </c>
      <c r="K725" s="4">
        <v>31</v>
      </c>
      <c r="L725" s="4" t="s">
        <v>7</v>
      </c>
      <c r="M725" s="4">
        <v>3</v>
      </c>
      <c r="N725" s="22">
        <v>50</v>
      </c>
      <c r="O725" s="24">
        <f>M725 * N725</f>
        <v>150</v>
      </c>
      <c r="P725" s="16">
        <f>O725 * $S$3</f>
        <v>2.25</v>
      </c>
      <c r="Q725" s="16">
        <f>O725 * $S$4</f>
        <v>3</v>
      </c>
    </row>
    <row r="726" spans="1:17">
      <c r="A726" s="2">
        <v>725</v>
      </c>
      <c r="B726" s="4">
        <f t="shared" si="55"/>
        <v>21</v>
      </c>
      <c r="C726" s="4">
        <f t="shared" si="56"/>
        <v>8</v>
      </c>
      <c r="D726" s="4">
        <f t="shared" si="57"/>
        <v>2023</v>
      </c>
      <c r="E726" s="4" t="str">
        <f t="shared" si="58"/>
        <v>Mon</v>
      </c>
      <c r="F726" s="4" t="str">
        <f t="shared" si="59"/>
        <v>Aug</v>
      </c>
      <c r="G726" s="3">
        <v>45159</v>
      </c>
      <c r="H726" s="4" t="s">
        <v>852</v>
      </c>
      <c r="I726" s="4" t="s">
        <v>4</v>
      </c>
      <c r="J726" s="4" t="str" cm="1">
        <f t="array" ref="J726">_xlfn.IFS(K726&gt;=50, "Senior", K726&gt;=30, "Adult", K726&lt;30,"Young Adult")</f>
        <v>Adult</v>
      </c>
      <c r="K726" s="4">
        <v>31</v>
      </c>
      <c r="L726" s="4" t="s">
        <v>8</v>
      </c>
      <c r="M726" s="4">
        <v>1</v>
      </c>
      <c r="N726" s="22">
        <v>300</v>
      </c>
      <c r="O726" s="24">
        <f>M726 * N726</f>
        <v>300</v>
      </c>
      <c r="P726" s="16">
        <f>O726 * $S$3</f>
        <v>4.5</v>
      </c>
      <c r="Q726" s="16">
        <f>O726 * $S$4</f>
        <v>6</v>
      </c>
    </row>
    <row r="727" spans="1:17">
      <c r="A727" s="2">
        <v>726</v>
      </c>
      <c r="B727" s="4">
        <f t="shared" si="55"/>
        <v>17</v>
      </c>
      <c r="C727" s="4">
        <f t="shared" si="56"/>
        <v>6</v>
      </c>
      <c r="D727" s="4">
        <f t="shared" si="57"/>
        <v>2023</v>
      </c>
      <c r="E727" s="4" t="str">
        <f t="shared" si="58"/>
        <v>Sat</v>
      </c>
      <c r="F727" s="4" t="str">
        <f t="shared" si="59"/>
        <v>Jun</v>
      </c>
      <c r="G727" s="3">
        <v>45094</v>
      </c>
      <c r="H727" s="4" t="s">
        <v>222</v>
      </c>
      <c r="I727" s="4" t="s">
        <v>4</v>
      </c>
      <c r="J727" s="4" t="str" cm="1">
        <f t="array" ref="J727">_xlfn.IFS(K727&gt;=50, "Senior", K727&gt;=30, "Adult", K727&lt;30,"Young Adult")</f>
        <v>Adult</v>
      </c>
      <c r="K727" s="4">
        <v>31</v>
      </c>
      <c r="L727" s="4" t="s">
        <v>7</v>
      </c>
      <c r="M727" s="4">
        <v>4</v>
      </c>
      <c r="N727" s="22">
        <v>300</v>
      </c>
      <c r="O727" s="24">
        <f>M727 * N727</f>
        <v>1200</v>
      </c>
      <c r="P727" s="16">
        <f>O727 * $S$3</f>
        <v>18</v>
      </c>
      <c r="Q727" s="16">
        <f>O727 * $S$4</f>
        <v>24</v>
      </c>
    </row>
    <row r="728" spans="1:17">
      <c r="A728" s="2">
        <v>727</v>
      </c>
      <c r="B728" s="4">
        <f t="shared" si="55"/>
        <v>22</v>
      </c>
      <c r="C728" s="4">
        <f t="shared" si="56"/>
        <v>6</v>
      </c>
      <c r="D728" s="4">
        <f t="shared" si="57"/>
        <v>2023</v>
      </c>
      <c r="E728" s="4" t="str">
        <f t="shared" si="58"/>
        <v>Thu</v>
      </c>
      <c r="F728" s="4" t="str">
        <f t="shared" si="59"/>
        <v>Jun</v>
      </c>
      <c r="G728" s="3">
        <v>45099</v>
      </c>
      <c r="H728" s="4" t="s">
        <v>853</v>
      </c>
      <c r="I728" s="4" t="s">
        <v>4</v>
      </c>
      <c r="J728" s="4" t="str" cm="1">
        <f t="array" ref="J728">_xlfn.IFS(K728&gt;=50, "Senior", K728&gt;=30, "Adult", K728&lt;30,"Young Adult")</f>
        <v>Adult</v>
      </c>
      <c r="K728" s="4">
        <v>31</v>
      </c>
      <c r="L728" s="4" t="s">
        <v>6</v>
      </c>
      <c r="M728" s="4">
        <v>3</v>
      </c>
      <c r="N728" s="22">
        <v>300</v>
      </c>
      <c r="O728" s="24">
        <f>M728 * N728</f>
        <v>900</v>
      </c>
      <c r="P728" s="16">
        <f>O728 * $S$3</f>
        <v>13.5</v>
      </c>
      <c r="Q728" s="16">
        <f>O728 * $S$4</f>
        <v>18</v>
      </c>
    </row>
    <row r="729" spans="1:17">
      <c r="A729" s="2">
        <v>728</v>
      </c>
      <c r="B729" s="4">
        <f t="shared" si="55"/>
        <v>14</v>
      </c>
      <c r="C729" s="4">
        <f t="shared" si="56"/>
        <v>7</v>
      </c>
      <c r="D729" s="4">
        <f t="shared" si="57"/>
        <v>2023</v>
      </c>
      <c r="E729" s="4" t="str">
        <f t="shared" si="58"/>
        <v>Fri</v>
      </c>
      <c r="F729" s="4" t="str">
        <f t="shared" si="59"/>
        <v>Jul</v>
      </c>
      <c r="G729" s="3">
        <v>45121</v>
      </c>
      <c r="H729" s="4" t="s">
        <v>854</v>
      </c>
      <c r="I729" s="4" t="s">
        <v>4</v>
      </c>
      <c r="J729" s="4" t="str" cm="1">
        <f t="array" ref="J729">_xlfn.IFS(K729&gt;=50, "Senior", K729&gt;=30, "Adult", K729&lt;30,"Young Adult")</f>
        <v>Adult</v>
      </c>
      <c r="K729" s="4">
        <v>30</v>
      </c>
      <c r="L729" s="4" t="s">
        <v>8</v>
      </c>
      <c r="M729" s="4">
        <v>3</v>
      </c>
      <c r="N729" s="22">
        <v>50</v>
      </c>
      <c r="O729" s="24">
        <f>M729 * N729</f>
        <v>150</v>
      </c>
      <c r="P729" s="16">
        <f>O729 * $S$3</f>
        <v>2.25</v>
      </c>
      <c r="Q729" s="16">
        <f>O729 * $S$4</f>
        <v>3</v>
      </c>
    </row>
    <row r="730" spans="1:17">
      <c r="A730" s="2">
        <v>729</v>
      </c>
      <c r="B730" s="4">
        <f t="shared" si="55"/>
        <v>23</v>
      </c>
      <c r="C730" s="4">
        <f t="shared" si="56"/>
        <v>5</v>
      </c>
      <c r="D730" s="4">
        <f t="shared" si="57"/>
        <v>2023</v>
      </c>
      <c r="E730" s="4" t="str">
        <f t="shared" si="58"/>
        <v>Tue</v>
      </c>
      <c r="F730" s="4" t="str">
        <f t="shared" si="59"/>
        <v>May</v>
      </c>
      <c r="G730" s="3">
        <v>45069</v>
      </c>
      <c r="H730" s="4" t="s">
        <v>855</v>
      </c>
      <c r="I730" s="4" t="s">
        <v>4</v>
      </c>
      <c r="J730" s="4" t="str" cm="1">
        <f t="array" ref="J730">_xlfn.IFS(K730&gt;=50, "Senior", K730&gt;=30, "Adult", K730&lt;30,"Young Adult")</f>
        <v>Adult</v>
      </c>
      <c r="K730" s="4">
        <v>30</v>
      </c>
      <c r="L730" s="4" t="s">
        <v>7</v>
      </c>
      <c r="M730" s="4">
        <v>4</v>
      </c>
      <c r="N730" s="22">
        <v>300</v>
      </c>
      <c r="O730" s="24">
        <f>M730 * N730</f>
        <v>1200</v>
      </c>
      <c r="P730" s="16">
        <f>O730 * $S$3</f>
        <v>18</v>
      </c>
      <c r="Q730" s="16">
        <f>O730 * $S$4</f>
        <v>24</v>
      </c>
    </row>
    <row r="731" spans="1:17">
      <c r="A731" s="2">
        <v>730</v>
      </c>
      <c r="B731" s="4">
        <f t="shared" si="55"/>
        <v>4</v>
      </c>
      <c r="C731" s="4">
        <f t="shared" si="56"/>
        <v>8</v>
      </c>
      <c r="D731" s="4">
        <f t="shared" si="57"/>
        <v>2023</v>
      </c>
      <c r="E731" s="4" t="str">
        <f t="shared" si="58"/>
        <v>Fri</v>
      </c>
      <c r="F731" s="4" t="str">
        <f t="shared" si="59"/>
        <v>Aug</v>
      </c>
      <c r="G731" s="3">
        <v>45142</v>
      </c>
      <c r="H731" s="4" t="s">
        <v>221</v>
      </c>
      <c r="I731" s="4" t="s">
        <v>3</v>
      </c>
      <c r="J731" s="4" t="str" cm="1">
        <f t="array" ref="J731">_xlfn.IFS(K731&gt;=50, "Senior", K731&gt;=30, "Adult", K731&lt;30,"Young Adult")</f>
        <v>Adult</v>
      </c>
      <c r="K731" s="4">
        <v>30</v>
      </c>
      <c r="L731" s="4" t="s">
        <v>7</v>
      </c>
      <c r="M731" s="4">
        <v>2</v>
      </c>
      <c r="N731" s="22">
        <v>25</v>
      </c>
      <c r="O731" s="24">
        <f>M731 * N731</f>
        <v>50</v>
      </c>
      <c r="P731" s="16">
        <f>O731 * $S$3</f>
        <v>0.75</v>
      </c>
      <c r="Q731" s="16">
        <f>O731 * $S$4</f>
        <v>1</v>
      </c>
    </row>
    <row r="732" spans="1:17">
      <c r="A732" s="2">
        <v>731</v>
      </c>
      <c r="B732" s="4">
        <f t="shared" si="55"/>
        <v>10</v>
      </c>
      <c r="C732" s="4">
        <f t="shared" si="56"/>
        <v>5</v>
      </c>
      <c r="D732" s="4">
        <f t="shared" si="57"/>
        <v>2023</v>
      </c>
      <c r="E732" s="4" t="str">
        <f t="shared" si="58"/>
        <v>Wed</v>
      </c>
      <c r="F732" s="4" t="str">
        <f t="shared" si="59"/>
        <v>May</v>
      </c>
      <c r="G732" s="3">
        <v>45056</v>
      </c>
      <c r="H732" s="4" t="s">
        <v>856</v>
      </c>
      <c r="I732" s="4" t="s">
        <v>4</v>
      </c>
      <c r="J732" s="4" t="str" cm="1">
        <f t="array" ref="J732">_xlfn.IFS(K732&gt;=50, "Senior", K732&gt;=30, "Adult", K732&lt;30,"Young Adult")</f>
        <v>Adult</v>
      </c>
      <c r="K732" s="4">
        <v>30</v>
      </c>
      <c r="L732" s="4" t="s">
        <v>7</v>
      </c>
      <c r="M732" s="4">
        <v>4</v>
      </c>
      <c r="N732" s="22">
        <v>500</v>
      </c>
      <c r="O732" s="24">
        <f>M732 * N732</f>
        <v>2000</v>
      </c>
      <c r="P732" s="16">
        <f>O732 * $S$3</f>
        <v>30</v>
      </c>
      <c r="Q732" s="16">
        <f>O732 * $S$4</f>
        <v>40</v>
      </c>
    </row>
    <row r="733" spans="1:17">
      <c r="A733" s="2">
        <v>732</v>
      </c>
      <c r="B733" s="4">
        <f t="shared" si="55"/>
        <v>11</v>
      </c>
      <c r="C733" s="4">
        <f t="shared" si="56"/>
        <v>2</v>
      </c>
      <c r="D733" s="4">
        <f t="shared" si="57"/>
        <v>2023</v>
      </c>
      <c r="E733" s="4" t="str">
        <f t="shared" si="58"/>
        <v>Sat</v>
      </c>
      <c r="F733" s="4" t="str">
        <f t="shared" si="59"/>
        <v>Feb</v>
      </c>
      <c r="G733" s="3">
        <v>44968</v>
      </c>
      <c r="H733" s="4" t="s">
        <v>857</v>
      </c>
      <c r="I733" s="4" t="s">
        <v>4</v>
      </c>
      <c r="J733" s="4" t="str" cm="1">
        <f t="array" ref="J733">_xlfn.IFS(K733&gt;=50, "Senior", K733&gt;=30, "Adult", K733&lt;30,"Young Adult")</f>
        <v>Adult</v>
      </c>
      <c r="K733" s="4">
        <v>30</v>
      </c>
      <c r="L733" s="4" t="s">
        <v>8</v>
      </c>
      <c r="M733" s="4">
        <v>2</v>
      </c>
      <c r="N733" s="22">
        <v>500</v>
      </c>
      <c r="O733" s="24">
        <f>M733 * N733</f>
        <v>1000</v>
      </c>
      <c r="P733" s="16">
        <f>O733 * $S$3</f>
        <v>15</v>
      </c>
      <c r="Q733" s="16">
        <f>O733 * $S$4</f>
        <v>20</v>
      </c>
    </row>
    <row r="734" spans="1:17">
      <c r="A734" s="2">
        <v>733</v>
      </c>
      <c r="B734" s="4">
        <f t="shared" si="55"/>
        <v>29</v>
      </c>
      <c r="C734" s="4">
        <f t="shared" si="56"/>
        <v>8</v>
      </c>
      <c r="D734" s="4">
        <f t="shared" si="57"/>
        <v>2023</v>
      </c>
      <c r="E734" s="4" t="str">
        <f t="shared" si="58"/>
        <v>Tue</v>
      </c>
      <c r="F734" s="4" t="str">
        <f t="shared" si="59"/>
        <v>Aug</v>
      </c>
      <c r="G734" s="3">
        <v>45167</v>
      </c>
      <c r="H734" s="4" t="s">
        <v>88</v>
      </c>
      <c r="I734" s="4" t="s">
        <v>4</v>
      </c>
      <c r="J734" s="4" t="str" cm="1">
        <f t="array" ref="J734">_xlfn.IFS(K734&gt;=50, "Senior", K734&gt;=30, "Adult", K734&lt;30,"Young Adult")</f>
        <v>Adult</v>
      </c>
      <c r="K734" s="4">
        <v>30</v>
      </c>
      <c r="L734" s="4" t="s">
        <v>6</v>
      </c>
      <c r="M734" s="4">
        <v>1</v>
      </c>
      <c r="N734" s="22">
        <v>30</v>
      </c>
      <c r="O734" s="24">
        <f>M734 * N734</f>
        <v>30</v>
      </c>
      <c r="P734" s="16">
        <f>O734 * $S$3</f>
        <v>0.44999999999999996</v>
      </c>
      <c r="Q734" s="16">
        <f>O734 * $S$4</f>
        <v>0.6</v>
      </c>
    </row>
    <row r="735" spans="1:17">
      <c r="A735" s="2">
        <v>734</v>
      </c>
      <c r="B735" s="4">
        <f t="shared" si="55"/>
        <v>10</v>
      </c>
      <c r="C735" s="4">
        <f t="shared" si="56"/>
        <v>1</v>
      </c>
      <c r="D735" s="4">
        <f t="shared" si="57"/>
        <v>2023</v>
      </c>
      <c r="E735" s="4" t="str">
        <f t="shared" si="58"/>
        <v>Tue</v>
      </c>
      <c r="F735" s="4" t="str">
        <f t="shared" si="59"/>
        <v>Jan</v>
      </c>
      <c r="G735" s="3">
        <v>44936</v>
      </c>
      <c r="H735" s="4" t="s">
        <v>858</v>
      </c>
      <c r="I735" s="4" t="s">
        <v>3</v>
      </c>
      <c r="J735" s="4" t="str" cm="1">
        <f t="array" ref="J735">_xlfn.IFS(K735&gt;=50, "Senior", K735&gt;=30, "Adult", K735&lt;30,"Young Adult")</f>
        <v>Adult</v>
      </c>
      <c r="K735" s="4">
        <v>30</v>
      </c>
      <c r="L735" s="4" t="s">
        <v>7</v>
      </c>
      <c r="M735" s="4">
        <v>1</v>
      </c>
      <c r="N735" s="22">
        <v>30</v>
      </c>
      <c r="O735" s="24">
        <f>M735 * N735</f>
        <v>30</v>
      </c>
      <c r="P735" s="16">
        <f>O735 * $S$3</f>
        <v>0.44999999999999996</v>
      </c>
      <c r="Q735" s="16">
        <f>O735 * $S$4</f>
        <v>0.6</v>
      </c>
    </row>
    <row r="736" spans="1:17">
      <c r="A736" s="2">
        <v>735</v>
      </c>
      <c r="B736" s="4">
        <f t="shared" si="55"/>
        <v>4</v>
      </c>
      <c r="C736" s="4">
        <f t="shared" si="56"/>
        <v>10</v>
      </c>
      <c r="D736" s="4">
        <f t="shared" si="57"/>
        <v>2023</v>
      </c>
      <c r="E736" s="4" t="str">
        <f t="shared" si="58"/>
        <v>Wed</v>
      </c>
      <c r="F736" s="4" t="str">
        <f t="shared" si="59"/>
        <v>Oct</v>
      </c>
      <c r="G736" s="3">
        <v>45203</v>
      </c>
      <c r="H736" s="4" t="s">
        <v>859</v>
      </c>
      <c r="I736" s="4" t="s">
        <v>3</v>
      </c>
      <c r="J736" s="4" t="str" cm="1">
        <f t="array" ref="J736">_xlfn.IFS(K736&gt;=50, "Senior", K736&gt;=30, "Adult", K736&lt;30,"Young Adult")</f>
        <v>Adult</v>
      </c>
      <c r="K736" s="4">
        <v>30</v>
      </c>
      <c r="L736" s="4" t="s">
        <v>7</v>
      </c>
      <c r="M736" s="4">
        <v>4</v>
      </c>
      <c r="N736" s="22">
        <v>500</v>
      </c>
      <c r="O736" s="24">
        <f>M736 * N736</f>
        <v>2000</v>
      </c>
      <c r="P736" s="16">
        <f>O736 * $S$3</f>
        <v>30</v>
      </c>
      <c r="Q736" s="16">
        <f>O736 * $S$4</f>
        <v>40</v>
      </c>
    </row>
    <row r="737" spans="1:17">
      <c r="A737" s="2">
        <v>736</v>
      </c>
      <c r="B737" s="4">
        <f t="shared" si="55"/>
        <v>27</v>
      </c>
      <c r="C737" s="4">
        <f t="shared" si="56"/>
        <v>1</v>
      </c>
      <c r="D737" s="4">
        <f t="shared" si="57"/>
        <v>2023</v>
      </c>
      <c r="E737" s="4" t="str">
        <f t="shared" si="58"/>
        <v>Fri</v>
      </c>
      <c r="F737" s="4" t="str">
        <f t="shared" si="59"/>
        <v>Jan</v>
      </c>
      <c r="G737" s="3">
        <v>44953</v>
      </c>
      <c r="H737" s="4" t="s">
        <v>860</v>
      </c>
      <c r="I737" s="4" t="s">
        <v>4</v>
      </c>
      <c r="J737" s="4" t="str" cm="1">
        <f t="array" ref="J737">_xlfn.IFS(K737&gt;=50, "Senior", K737&gt;=30, "Adult", K737&lt;30,"Young Adult")</f>
        <v>Adult</v>
      </c>
      <c r="K737" s="4">
        <v>30</v>
      </c>
      <c r="L737" s="4" t="s">
        <v>7</v>
      </c>
      <c r="M737" s="4">
        <v>4</v>
      </c>
      <c r="N737" s="22">
        <v>25</v>
      </c>
      <c r="O737" s="24">
        <f>M737 * N737</f>
        <v>100</v>
      </c>
      <c r="P737" s="16">
        <f>O737 * $S$3</f>
        <v>1.5</v>
      </c>
      <c r="Q737" s="16">
        <f>O737 * $S$4</f>
        <v>2</v>
      </c>
    </row>
    <row r="738" spans="1:17">
      <c r="A738" s="2">
        <v>737</v>
      </c>
      <c r="B738" s="4">
        <f t="shared" si="55"/>
        <v>29</v>
      </c>
      <c r="C738" s="4">
        <f t="shared" si="56"/>
        <v>6</v>
      </c>
      <c r="D738" s="4">
        <f t="shared" si="57"/>
        <v>2023</v>
      </c>
      <c r="E738" s="4" t="str">
        <f t="shared" si="58"/>
        <v>Thu</v>
      </c>
      <c r="F738" s="4" t="str">
        <f t="shared" si="59"/>
        <v>Jun</v>
      </c>
      <c r="G738" s="3">
        <v>45106</v>
      </c>
      <c r="H738" s="4" t="s">
        <v>220</v>
      </c>
      <c r="I738" s="4" t="s">
        <v>3</v>
      </c>
      <c r="J738" s="4" t="str" cm="1">
        <f t="array" ref="J738">_xlfn.IFS(K738&gt;=50, "Senior", K738&gt;=30, "Adult", K738&lt;30,"Young Adult")</f>
        <v>Adult</v>
      </c>
      <c r="K738" s="4">
        <v>30</v>
      </c>
      <c r="L738" s="4" t="s">
        <v>7</v>
      </c>
      <c r="M738" s="4">
        <v>1</v>
      </c>
      <c r="N738" s="22">
        <v>50</v>
      </c>
      <c r="O738" s="24">
        <f>M738 * N738</f>
        <v>50</v>
      </c>
      <c r="P738" s="16">
        <f>O738 * $S$3</f>
        <v>0.75</v>
      </c>
      <c r="Q738" s="16">
        <f>O738 * $S$4</f>
        <v>1</v>
      </c>
    </row>
    <row r="739" spans="1:17">
      <c r="A739" s="2">
        <v>738</v>
      </c>
      <c r="B739" s="4">
        <f t="shared" si="55"/>
        <v>25</v>
      </c>
      <c r="C739" s="4">
        <f t="shared" si="56"/>
        <v>4</v>
      </c>
      <c r="D739" s="4">
        <f t="shared" si="57"/>
        <v>2023</v>
      </c>
      <c r="E739" s="4" t="str">
        <f t="shared" si="58"/>
        <v>Tue</v>
      </c>
      <c r="F739" s="4" t="str">
        <f t="shared" si="59"/>
        <v>Apr</v>
      </c>
      <c r="G739" s="3">
        <v>45041</v>
      </c>
      <c r="H739" s="4" t="s">
        <v>219</v>
      </c>
      <c r="I739" s="4" t="s">
        <v>4</v>
      </c>
      <c r="J739" s="4" t="str" cm="1">
        <f t="array" ref="J739">_xlfn.IFS(K739&gt;=50, "Senior", K739&gt;=30, "Adult", K739&lt;30,"Young Adult")</f>
        <v>Adult</v>
      </c>
      <c r="K739" s="4">
        <v>30</v>
      </c>
      <c r="L739" s="4" t="s">
        <v>7</v>
      </c>
      <c r="M739" s="4">
        <v>2</v>
      </c>
      <c r="N739" s="22">
        <v>50</v>
      </c>
      <c r="O739" s="24">
        <f>M739 * N739</f>
        <v>100</v>
      </c>
      <c r="P739" s="16">
        <f>O739 * $S$3</f>
        <v>1.5</v>
      </c>
      <c r="Q739" s="16">
        <f>O739 * $S$4</f>
        <v>2</v>
      </c>
    </row>
    <row r="740" spans="1:17">
      <c r="A740" s="2">
        <v>739</v>
      </c>
      <c r="B740" s="4">
        <f t="shared" si="55"/>
        <v>29</v>
      </c>
      <c r="C740" s="4">
        <f t="shared" si="56"/>
        <v>11</v>
      </c>
      <c r="D740" s="4">
        <f t="shared" si="57"/>
        <v>2023</v>
      </c>
      <c r="E740" s="4" t="str">
        <f t="shared" si="58"/>
        <v>Wed</v>
      </c>
      <c r="F740" s="4" t="str">
        <f t="shared" si="59"/>
        <v>Nov</v>
      </c>
      <c r="G740" s="3">
        <v>45259</v>
      </c>
      <c r="H740" s="4" t="s">
        <v>87</v>
      </c>
      <c r="I740" s="4" t="s">
        <v>4</v>
      </c>
      <c r="J740" s="4" t="str" cm="1">
        <f t="array" ref="J740">_xlfn.IFS(K740&gt;=50, "Senior", K740&gt;=30, "Adult", K740&lt;30,"Young Adult")</f>
        <v>Adult</v>
      </c>
      <c r="K740" s="4">
        <v>30</v>
      </c>
      <c r="L740" s="4" t="s">
        <v>6</v>
      </c>
      <c r="M740" s="4">
        <v>1</v>
      </c>
      <c r="N740" s="22">
        <v>25</v>
      </c>
      <c r="O740" s="24">
        <f>M740 * N740</f>
        <v>25</v>
      </c>
      <c r="P740" s="16">
        <f>O740 * $S$3</f>
        <v>0.375</v>
      </c>
      <c r="Q740" s="16">
        <f>O740 * $S$4</f>
        <v>0.5</v>
      </c>
    </row>
    <row r="741" spans="1:17">
      <c r="A741" s="2">
        <v>740</v>
      </c>
      <c r="B741" s="4">
        <f t="shared" si="55"/>
        <v>5</v>
      </c>
      <c r="C741" s="4">
        <f t="shared" si="56"/>
        <v>2</v>
      </c>
      <c r="D741" s="4">
        <f t="shared" si="57"/>
        <v>2023</v>
      </c>
      <c r="E741" s="4" t="str">
        <f t="shared" si="58"/>
        <v>Sun</v>
      </c>
      <c r="F741" s="4" t="str">
        <f t="shared" si="59"/>
        <v>Feb</v>
      </c>
      <c r="G741" s="3">
        <v>44962</v>
      </c>
      <c r="H741" s="4" t="s">
        <v>861</v>
      </c>
      <c r="I741" s="4" t="s">
        <v>3</v>
      </c>
      <c r="J741" s="4" t="str" cm="1">
        <f t="array" ref="J741">_xlfn.IFS(K741&gt;=50, "Senior", K741&gt;=30, "Adult", K741&lt;30,"Young Adult")</f>
        <v>Adult</v>
      </c>
      <c r="K741" s="4">
        <v>30</v>
      </c>
      <c r="L741" s="4" t="s">
        <v>6</v>
      </c>
      <c r="M741" s="4">
        <v>4</v>
      </c>
      <c r="N741" s="22">
        <v>50</v>
      </c>
      <c r="O741" s="24">
        <f>M741 * N741</f>
        <v>200</v>
      </c>
      <c r="P741" s="16">
        <f>O741 * $S$3</f>
        <v>3</v>
      </c>
      <c r="Q741" s="16">
        <f>O741 * $S$4</f>
        <v>4</v>
      </c>
    </row>
    <row r="742" spans="1:17">
      <c r="A742" s="2">
        <v>741</v>
      </c>
      <c r="B742" s="4">
        <f t="shared" si="55"/>
        <v>30</v>
      </c>
      <c r="C742" s="4">
        <f t="shared" si="56"/>
        <v>11</v>
      </c>
      <c r="D742" s="4">
        <f t="shared" si="57"/>
        <v>2023</v>
      </c>
      <c r="E742" s="4" t="str">
        <f t="shared" si="58"/>
        <v>Thu</v>
      </c>
      <c r="F742" s="4" t="str">
        <f t="shared" si="59"/>
        <v>Nov</v>
      </c>
      <c r="G742" s="3">
        <v>45260</v>
      </c>
      <c r="H742" s="4" t="s">
        <v>218</v>
      </c>
      <c r="I742" s="4" t="s">
        <v>4</v>
      </c>
      <c r="J742" s="4" t="str" cm="1">
        <f t="array" ref="J742">_xlfn.IFS(K742&gt;=50, "Senior", K742&gt;=30, "Adult", K742&lt;30,"Young Adult")</f>
        <v>Adult</v>
      </c>
      <c r="K742" s="4">
        <v>30</v>
      </c>
      <c r="L742" s="4" t="s">
        <v>7</v>
      </c>
      <c r="M742" s="4">
        <v>1</v>
      </c>
      <c r="N742" s="22">
        <v>300</v>
      </c>
      <c r="O742" s="24">
        <f>M742 * N742</f>
        <v>300</v>
      </c>
      <c r="P742" s="16">
        <f>O742 * $S$3</f>
        <v>4.5</v>
      </c>
      <c r="Q742" s="16">
        <f>O742 * $S$4</f>
        <v>6</v>
      </c>
    </row>
    <row r="743" spans="1:17">
      <c r="A743" s="2">
        <v>742</v>
      </c>
      <c r="B743" s="4">
        <f t="shared" si="55"/>
        <v>21</v>
      </c>
      <c r="C743" s="4">
        <f t="shared" si="56"/>
        <v>1</v>
      </c>
      <c r="D743" s="4">
        <f t="shared" si="57"/>
        <v>2023</v>
      </c>
      <c r="E743" s="4" t="str">
        <f t="shared" si="58"/>
        <v>Sat</v>
      </c>
      <c r="F743" s="4" t="str">
        <f t="shared" si="59"/>
        <v>Jan</v>
      </c>
      <c r="G743" s="3">
        <v>44947</v>
      </c>
      <c r="H743" s="4" t="s">
        <v>862</v>
      </c>
      <c r="I743" s="4" t="s">
        <v>3</v>
      </c>
      <c r="J743" s="4" t="str" cm="1">
        <f t="array" ref="J743">_xlfn.IFS(K743&gt;=50, "Senior", K743&gt;=30, "Adult", K743&lt;30,"Young Adult")</f>
        <v>Adult</v>
      </c>
      <c r="K743" s="4">
        <v>30</v>
      </c>
      <c r="L743" s="4" t="s">
        <v>8</v>
      </c>
      <c r="M743" s="4">
        <v>4</v>
      </c>
      <c r="N743" s="22">
        <v>500</v>
      </c>
      <c r="O743" s="24">
        <f>M743 * N743</f>
        <v>2000</v>
      </c>
      <c r="P743" s="16">
        <f>O743 * $S$3</f>
        <v>30</v>
      </c>
      <c r="Q743" s="16">
        <f>O743 * $S$4</f>
        <v>40</v>
      </c>
    </row>
    <row r="744" spans="1:17">
      <c r="A744" s="2">
        <v>743</v>
      </c>
      <c r="B744" s="4">
        <f t="shared" si="55"/>
        <v>16</v>
      </c>
      <c r="C744" s="4">
        <f t="shared" si="56"/>
        <v>1</v>
      </c>
      <c r="D744" s="4">
        <f t="shared" si="57"/>
        <v>2023</v>
      </c>
      <c r="E744" s="4" t="str">
        <f t="shared" si="58"/>
        <v>Mon</v>
      </c>
      <c r="F744" s="4" t="str">
        <f t="shared" si="59"/>
        <v>Jan</v>
      </c>
      <c r="G744" s="3">
        <v>44942</v>
      </c>
      <c r="H744" s="4" t="s">
        <v>86</v>
      </c>
      <c r="I744" s="4" t="s">
        <v>3</v>
      </c>
      <c r="J744" s="4" t="str" cm="1">
        <f t="array" ref="J744">_xlfn.IFS(K744&gt;=50, "Senior", K744&gt;=30, "Adult", K744&lt;30,"Young Adult")</f>
        <v>Adult</v>
      </c>
      <c r="K744" s="4">
        <v>30</v>
      </c>
      <c r="L744" s="4" t="s">
        <v>6</v>
      </c>
      <c r="M744" s="4">
        <v>4</v>
      </c>
      <c r="N744" s="22">
        <v>500</v>
      </c>
      <c r="O744" s="24">
        <f>M744 * N744</f>
        <v>2000</v>
      </c>
      <c r="P744" s="16">
        <f>O744 * $S$3</f>
        <v>30</v>
      </c>
      <c r="Q744" s="16">
        <f>O744 * $S$4</f>
        <v>40</v>
      </c>
    </row>
    <row r="745" spans="1:17">
      <c r="A745" s="2">
        <v>744</v>
      </c>
      <c r="B745" s="4">
        <f t="shared" si="55"/>
        <v>7</v>
      </c>
      <c r="C745" s="4">
        <f t="shared" si="56"/>
        <v>5</v>
      </c>
      <c r="D745" s="4">
        <f t="shared" si="57"/>
        <v>2023</v>
      </c>
      <c r="E745" s="4" t="str">
        <f t="shared" si="58"/>
        <v>Sun</v>
      </c>
      <c r="F745" s="4" t="str">
        <f t="shared" si="59"/>
        <v>May</v>
      </c>
      <c r="G745" s="3">
        <v>45053</v>
      </c>
      <c r="H745" s="4" t="s">
        <v>863</v>
      </c>
      <c r="I745" s="4" t="s">
        <v>4</v>
      </c>
      <c r="J745" s="4" t="str" cm="1">
        <f t="array" ref="J745">_xlfn.IFS(K745&gt;=50, "Senior", K745&gt;=30, "Adult", K745&lt;30,"Young Adult")</f>
        <v>Adult</v>
      </c>
      <c r="K745" s="4">
        <v>30</v>
      </c>
      <c r="L745" s="4" t="s">
        <v>8</v>
      </c>
      <c r="M745" s="4">
        <v>1</v>
      </c>
      <c r="N745" s="22">
        <v>25</v>
      </c>
      <c r="O745" s="24">
        <f>M745 * N745</f>
        <v>25</v>
      </c>
      <c r="P745" s="16">
        <f>O745 * $S$3</f>
        <v>0.375</v>
      </c>
      <c r="Q745" s="16">
        <f>O745 * $S$4</f>
        <v>0.5</v>
      </c>
    </row>
    <row r="746" spans="1:17">
      <c r="A746" s="2">
        <v>745</v>
      </c>
      <c r="B746" s="4">
        <f t="shared" si="55"/>
        <v>13</v>
      </c>
      <c r="C746" s="4">
        <f t="shared" si="56"/>
        <v>4</v>
      </c>
      <c r="D746" s="4">
        <f t="shared" si="57"/>
        <v>2023</v>
      </c>
      <c r="E746" s="4" t="str">
        <f t="shared" si="58"/>
        <v>Thu</v>
      </c>
      <c r="F746" s="4" t="str">
        <f t="shared" si="59"/>
        <v>Apr</v>
      </c>
      <c r="G746" s="3">
        <v>45029</v>
      </c>
      <c r="H746" s="4" t="s">
        <v>864</v>
      </c>
      <c r="I746" s="4" t="s">
        <v>4</v>
      </c>
      <c r="J746" s="4" t="str" cm="1">
        <f t="array" ref="J746">_xlfn.IFS(K746&gt;=50, "Senior", K746&gt;=30, "Adult", K746&lt;30,"Young Adult")</f>
        <v>Adult</v>
      </c>
      <c r="K746" s="4">
        <v>30</v>
      </c>
      <c r="L746" s="4" t="s">
        <v>6</v>
      </c>
      <c r="M746" s="4">
        <v>2</v>
      </c>
      <c r="N746" s="22">
        <v>50</v>
      </c>
      <c r="O746" s="24">
        <f>M746 * N746</f>
        <v>100</v>
      </c>
      <c r="P746" s="16">
        <f>O746 * $S$3</f>
        <v>1.5</v>
      </c>
      <c r="Q746" s="16">
        <f>O746 * $S$4</f>
        <v>2</v>
      </c>
    </row>
    <row r="747" spans="1:17">
      <c r="A747" s="2">
        <v>746</v>
      </c>
      <c r="B747" s="4">
        <f t="shared" si="55"/>
        <v>11</v>
      </c>
      <c r="C747" s="4">
        <f t="shared" si="56"/>
        <v>1</v>
      </c>
      <c r="D747" s="4">
        <f t="shared" si="57"/>
        <v>2023</v>
      </c>
      <c r="E747" s="4" t="str">
        <f t="shared" si="58"/>
        <v>Wed</v>
      </c>
      <c r="F747" s="4" t="str">
        <f t="shared" si="59"/>
        <v>Jan</v>
      </c>
      <c r="G747" s="3">
        <v>44937</v>
      </c>
      <c r="H747" s="4" t="s">
        <v>216</v>
      </c>
      <c r="I747" s="4" t="s">
        <v>3</v>
      </c>
      <c r="J747" s="4" t="str" cm="1">
        <f t="array" ref="J747">_xlfn.IFS(K747&gt;=50, "Senior", K747&gt;=30, "Adult", K747&lt;30,"Young Adult")</f>
        <v>Adult</v>
      </c>
      <c r="K747" s="4">
        <v>30</v>
      </c>
      <c r="L747" s="4" t="s">
        <v>7</v>
      </c>
      <c r="M747" s="4">
        <v>3</v>
      </c>
      <c r="N747" s="22">
        <v>30</v>
      </c>
      <c r="O747" s="24">
        <f>M747 * N747</f>
        <v>90</v>
      </c>
      <c r="P747" s="16">
        <f>O747 * $S$3</f>
        <v>1.3499999999999999</v>
      </c>
      <c r="Q747" s="16">
        <f>O747 * $S$4</f>
        <v>1.8</v>
      </c>
    </row>
    <row r="748" spans="1:17">
      <c r="A748" s="2">
        <v>747</v>
      </c>
      <c r="B748" s="4">
        <f t="shared" si="55"/>
        <v>15</v>
      </c>
      <c r="C748" s="4">
        <f t="shared" si="56"/>
        <v>11</v>
      </c>
      <c r="D748" s="4">
        <f t="shared" si="57"/>
        <v>2023</v>
      </c>
      <c r="E748" s="4" t="str">
        <f t="shared" si="58"/>
        <v>Wed</v>
      </c>
      <c r="F748" s="4" t="str">
        <f t="shared" si="59"/>
        <v>Nov</v>
      </c>
      <c r="G748" s="3">
        <v>45245</v>
      </c>
      <c r="H748" s="4" t="s">
        <v>865</v>
      </c>
      <c r="I748" s="4" t="s">
        <v>4</v>
      </c>
      <c r="J748" s="4" t="str" cm="1">
        <f t="array" ref="J748">_xlfn.IFS(K748&gt;=50, "Senior", K748&gt;=30, "Adult", K748&lt;30,"Young Adult")</f>
        <v>Adult</v>
      </c>
      <c r="K748" s="4">
        <v>30</v>
      </c>
      <c r="L748" s="4" t="s">
        <v>6</v>
      </c>
      <c r="M748" s="4">
        <v>1</v>
      </c>
      <c r="N748" s="22">
        <v>30</v>
      </c>
      <c r="O748" s="24">
        <f>M748 * N748</f>
        <v>30</v>
      </c>
      <c r="P748" s="16">
        <f>O748 * $S$3</f>
        <v>0.44999999999999996</v>
      </c>
      <c r="Q748" s="16">
        <f>O748 * $S$4</f>
        <v>0.6</v>
      </c>
    </row>
    <row r="749" spans="1:17">
      <c r="A749" s="2">
        <v>748</v>
      </c>
      <c r="B749" s="4">
        <f t="shared" si="55"/>
        <v>20</v>
      </c>
      <c r="C749" s="4">
        <f t="shared" si="56"/>
        <v>3</v>
      </c>
      <c r="D749" s="4">
        <f t="shared" si="57"/>
        <v>2023</v>
      </c>
      <c r="E749" s="4" t="str">
        <f t="shared" si="58"/>
        <v>Mon</v>
      </c>
      <c r="F749" s="4" t="str">
        <f t="shared" si="59"/>
        <v>Mar</v>
      </c>
      <c r="G749" s="3">
        <v>45005</v>
      </c>
      <c r="H749" s="4" t="s">
        <v>866</v>
      </c>
      <c r="I749" s="4" t="s">
        <v>4</v>
      </c>
      <c r="J749" s="4" t="str" cm="1">
        <f t="array" ref="J749">_xlfn.IFS(K749&gt;=50, "Senior", K749&gt;=30, "Adult", K749&lt;30,"Young Adult")</f>
        <v>Adult</v>
      </c>
      <c r="K749" s="4">
        <v>30</v>
      </c>
      <c r="L749" s="4" t="s">
        <v>7</v>
      </c>
      <c r="M749" s="4">
        <v>3</v>
      </c>
      <c r="N749" s="22">
        <v>50</v>
      </c>
      <c r="O749" s="24">
        <f>M749 * N749</f>
        <v>150</v>
      </c>
      <c r="P749" s="16">
        <f>O749 * $S$3</f>
        <v>2.25</v>
      </c>
      <c r="Q749" s="16">
        <f>O749 * $S$4</f>
        <v>3</v>
      </c>
    </row>
    <row r="750" spans="1:17">
      <c r="A750" s="2">
        <v>749</v>
      </c>
      <c r="B750" s="4">
        <f t="shared" si="55"/>
        <v>3</v>
      </c>
      <c r="C750" s="4">
        <f t="shared" si="56"/>
        <v>5</v>
      </c>
      <c r="D750" s="4">
        <f t="shared" si="57"/>
        <v>2023</v>
      </c>
      <c r="E750" s="4" t="str">
        <f t="shared" si="58"/>
        <v>Wed</v>
      </c>
      <c r="F750" s="4" t="str">
        <f t="shared" si="59"/>
        <v>May</v>
      </c>
      <c r="G750" s="3">
        <v>45049</v>
      </c>
      <c r="H750" s="4" t="s">
        <v>85</v>
      </c>
      <c r="I750" s="4" t="s">
        <v>4</v>
      </c>
      <c r="J750" s="4" t="str" cm="1">
        <f t="array" ref="J750">_xlfn.IFS(K750&gt;=50, "Senior", K750&gt;=30, "Adult", K750&lt;30,"Young Adult")</f>
        <v>Adult</v>
      </c>
      <c r="K750" s="4">
        <v>30</v>
      </c>
      <c r="L750" s="4" t="s">
        <v>6</v>
      </c>
      <c r="M750" s="4">
        <v>1</v>
      </c>
      <c r="N750" s="22">
        <v>30</v>
      </c>
      <c r="O750" s="24">
        <f>M750 * N750</f>
        <v>30</v>
      </c>
      <c r="P750" s="16">
        <f>O750 * $S$3</f>
        <v>0.44999999999999996</v>
      </c>
      <c r="Q750" s="16">
        <f>O750 * $S$4</f>
        <v>0.6</v>
      </c>
    </row>
    <row r="751" spans="1:17">
      <c r="A751" s="2">
        <v>750</v>
      </c>
      <c r="B751" s="4">
        <f t="shared" si="55"/>
        <v>6</v>
      </c>
      <c r="C751" s="4">
        <f t="shared" si="56"/>
        <v>3</v>
      </c>
      <c r="D751" s="4">
        <f t="shared" si="57"/>
        <v>2023</v>
      </c>
      <c r="E751" s="4" t="str">
        <f t="shared" si="58"/>
        <v>Mon</v>
      </c>
      <c r="F751" s="4" t="str">
        <f t="shared" si="59"/>
        <v>Mar</v>
      </c>
      <c r="G751" s="3">
        <v>44991</v>
      </c>
      <c r="H751" s="4" t="s">
        <v>214</v>
      </c>
      <c r="I751" s="4" t="s">
        <v>3</v>
      </c>
      <c r="J751" s="4" t="str" cm="1">
        <f t="array" ref="J751">_xlfn.IFS(K751&gt;=50, "Senior", K751&gt;=30, "Adult", K751&lt;30,"Young Adult")</f>
        <v>Young Adult</v>
      </c>
      <c r="K751" s="4">
        <v>29</v>
      </c>
      <c r="L751" s="4" t="s">
        <v>7</v>
      </c>
      <c r="M751" s="4">
        <v>3</v>
      </c>
      <c r="N751" s="22">
        <v>25</v>
      </c>
      <c r="O751" s="24">
        <f>M751 * N751</f>
        <v>75</v>
      </c>
      <c r="P751" s="16">
        <f>O751 * $S$3</f>
        <v>1.125</v>
      </c>
      <c r="Q751" s="16">
        <f>O751 * $S$4</f>
        <v>1.5</v>
      </c>
    </row>
    <row r="752" spans="1:17">
      <c r="A752" s="2">
        <v>751</v>
      </c>
      <c r="B752" s="4">
        <f t="shared" si="55"/>
        <v>31</v>
      </c>
      <c r="C752" s="4">
        <f t="shared" si="56"/>
        <v>8</v>
      </c>
      <c r="D752" s="4">
        <f t="shared" si="57"/>
        <v>2023</v>
      </c>
      <c r="E752" s="4" t="str">
        <f t="shared" si="58"/>
        <v>Thu</v>
      </c>
      <c r="F752" s="4" t="str">
        <f t="shared" si="59"/>
        <v>Aug</v>
      </c>
      <c r="G752" s="3">
        <v>45169</v>
      </c>
      <c r="H752" s="4" t="s">
        <v>213</v>
      </c>
      <c r="I752" s="4" t="s">
        <v>3</v>
      </c>
      <c r="J752" s="4" t="str" cm="1">
        <f t="array" ref="J752">_xlfn.IFS(K752&gt;=50, "Senior", K752&gt;=30, "Adult", K752&lt;30,"Young Adult")</f>
        <v>Young Adult</v>
      </c>
      <c r="K752" s="4">
        <v>29</v>
      </c>
      <c r="L752" s="4" t="s">
        <v>7</v>
      </c>
      <c r="M752" s="4">
        <v>2</v>
      </c>
      <c r="N752" s="22">
        <v>25</v>
      </c>
      <c r="O752" s="24">
        <f>M752 * N752</f>
        <v>50</v>
      </c>
      <c r="P752" s="16">
        <f>O752 * $S$3</f>
        <v>0.75</v>
      </c>
      <c r="Q752" s="16">
        <f>O752 * $S$4</f>
        <v>1</v>
      </c>
    </row>
    <row r="753" spans="1:17">
      <c r="A753" s="2">
        <v>752</v>
      </c>
      <c r="B753" s="4">
        <f t="shared" si="55"/>
        <v>9</v>
      </c>
      <c r="C753" s="4">
        <f t="shared" si="56"/>
        <v>12</v>
      </c>
      <c r="D753" s="4">
        <f t="shared" si="57"/>
        <v>2023</v>
      </c>
      <c r="E753" s="4" t="str">
        <f t="shared" si="58"/>
        <v>Sat</v>
      </c>
      <c r="F753" s="4" t="str">
        <f t="shared" si="59"/>
        <v>Dec</v>
      </c>
      <c r="G753" s="3">
        <v>45269</v>
      </c>
      <c r="H753" s="4" t="s">
        <v>867</v>
      </c>
      <c r="I753" s="4" t="s">
        <v>4</v>
      </c>
      <c r="J753" s="4" t="str" cm="1">
        <f t="array" ref="J753">_xlfn.IFS(K753&gt;=50, "Senior", K753&gt;=30, "Adult", K753&lt;30,"Young Adult")</f>
        <v>Young Adult</v>
      </c>
      <c r="K753" s="4">
        <v>29</v>
      </c>
      <c r="L753" s="4" t="s">
        <v>7</v>
      </c>
      <c r="M753" s="4">
        <v>2</v>
      </c>
      <c r="N753" s="22">
        <v>50</v>
      </c>
      <c r="O753" s="24">
        <f>M753 * N753</f>
        <v>100</v>
      </c>
      <c r="P753" s="16">
        <f>O753 * $S$3</f>
        <v>1.5</v>
      </c>
      <c r="Q753" s="16">
        <f>O753 * $S$4</f>
        <v>2</v>
      </c>
    </row>
    <row r="754" spans="1:17">
      <c r="A754" s="2">
        <v>753</v>
      </c>
      <c r="B754" s="4">
        <f t="shared" si="55"/>
        <v>28</v>
      </c>
      <c r="C754" s="4">
        <f t="shared" si="56"/>
        <v>2</v>
      </c>
      <c r="D754" s="4">
        <f t="shared" si="57"/>
        <v>2023</v>
      </c>
      <c r="E754" s="4" t="str">
        <f t="shared" si="58"/>
        <v>Tue</v>
      </c>
      <c r="F754" s="4" t="str">
        <f t="shared" si="59"/>
        <v>Feb</v>
      </c>
      <c r="G754" s="3">
        <v>44985</v>
      </c>
      <c r="H754" s="4" t="s">
        <v>212</v>
      </c>
      <c r="I754" s="4" t="s">
        <v>3</v>
      </c>
      <c r="J754" s="4" t="str" cm="1">
        <f t="array" ref="J754">_xlfn.IFS(K754&gt;=50, "Senior", K754&gt;=30, "Adult", K754&lt;30,"Young Adult")</f>
        <v>Young Adult</v>
      </c>
      <c r="K754" s="4">
        <v>29</v>
      </c>
      <c r="L754" s="4" t="s">
        <v>7</v>
      </c>
      <c r="M754" s="4">
        <v>1</v>
      </c>
      <c r="N754" s="22">
        <v>30</v>
      </c>
      <c r="O754" s="24">
        <f>M754 * N754</f>
        <v>30</v>
      </c>
      <c r="P754" s="16">
        <f>O754 * $S$3</f>
        <v>0.44999999999999996</v>
      </c>
      <c r="Q754" s="16">
        <f>O754 * $S$4</f>
        <v>0.6</v>
      </c>
    </row>
    <row r="755" spans="1:17">
      <c r="A755" s="2">
        <v>754</v>
      </c>
      <c r="B755" s="4">
        <f t="shared" si="55"/>
        <v>16</v>
      </c>
      <c r="C755" s="4">
        <f t="shared" si="56"/>
        <v>10</v>
      </c>
      <c r="D755" s="4">
        <f t="shared" si="57"/>
        <v>2023</v>
      </c>
      <c r="E755" s="4" t="str">
        <f t="shared" si="58"/>
        <v>Mon</v>
      </c>
      <c r="F755" s="4" t="str">
        <f t="shared" si="59"/>
        <v>Oct</v>
      </c>
      <c r="G755" s="3">
        <v>45215</v>
      </c>
      <c r="H755" s="4" t="s">
        <v>868</v>
      </c>
      <c r="I755" s="4" t="s">
        <v>3</v>
      </c>
      <c r="J755" s="4" t="str" cm="1">
        <f t="array" ref="J755">_xlfn.IFS(K755&gt;=50, "Senior", K755&gt;=30, "Adult", K755&lt;30,"Young Adult")</f>
        <v>Young Adult</v>
      </c>
      <c r="K755" s="4">
        <v>29</v>
      </c>
      <c r="L755" s="4" t="s">
        <v>8</v>
      </c>
      <c r="M755" s="4">
        <v>4</v>
      </c>
      <c r="N755" s="22">
        <v>25</v>
      </c>
      <c r="O755" s="24">
        <f>M755 * N755</f>
        <v>100</v>
      </c>
      <c r="P755" s="16">
        <f>O755 * $S$3</f>
        <v>1.5</v>
      </c>
      <c r="Q755" s="16">
        <f>O755 * $S$4</f>
        <v>2</v>
      </c>
    </row>
    <row r="756" spans="1:17">
      <c r="A756" s="2">
        <v>755</v>
      </c>
      <c r="B756" s="4">
        <f t="shared" si="55"/>
        <v>22</v>
      </c>
      <c r="C756" s="4">
        <f t="shared" si="56"/>
        <v>4</v>
      </c>
      <c r="D756" s="4">
        <f t="shared" si="57"/>
        <v>2023</v>
      </c>
      <c r="E756" s="4" t="str">
        <f t="shared" si="58"/>
        <v>Sat</v>
      </c>
      <c r="F756" s="4" t="str">
        <f t="shared" si="59"/>
        <v>Apr</v>
      </c>
      <c r="G756" s="3">
        <v>45038</v>
      </c>
      <c r="H756" s="4" t="s">
        <v>869</v>
      </c>
      <c r="I756" s="4" t="s">
        <v>3</v>
      </c>
      <c r="J756" s="4" t="str" cm="1">
        <f t="array" ref="J756">_xlfn.IFS(K756&gt;=50, "Senior", K756&gt;=30, "Adult", K756&lt;30,"Young Adult")</f>
        <v>Young Adult</v>
      </c>
      <c r="K756" s="4">
        <v>29</v>
      </c>
      <c r="L756" s="4" t="s">
        <v>7</v>
      </c>
      <c r="M756" s="4">
        <v>3</v>
      </c>
      <c r="N756" s="22">
        <v>25</v>
      </c>
      <c r="O756" s="24">
        <f>M756 * N756</f>
        <v>75</v>
      </c>
      <c r="P756" s="16">
        <f>O756 * $S$3</f>
        <v>1.125</v>
      </c>
      <c r="Q756" s="16">
        <f>O756 * $S$4</f>
        <v>1.5</v>
      </c>
    </row>
    <row r="757" spans="1:17">
      <c r="A757" s="2">
        <v>756</v>
      </c>
      <c r="B757" s="4">
        <f t="shared" si="55"/>
        <v>27</v>
      </c>
      <c r="C757" s="4">
        <f t="shared" si="56"/>
        <v>8</v>
      </c>
      <c r="D757" s="4">
        <f t="shared" si="57"/>
        <v>2023</v>
      </c>
      <c r="E757" s="4" t="str">
        <f t="shared" si="58"/>
        <v>Sun</v>
      </c>
      <c r="F757" s="4" t="str">
        <f t="shared" si="59"/>
        <v>Aug</v>
      </c>
      <c r="G757" s="3">
        <v>45165</v>
      </c>
      <c r="H757" s="4" t="s">
        <v>870</v>
      </c>
      <c r="I757" s="4" t="s">
        <v>3</v>
      </c>
      <c r="J757" s="4" t="str" cm="1">
        <f t="array" ref="J757">_xlfn.IFS(K757&gt;=50, "Senior", K757&gt;=30, "Adult", K757&lt;30,"Young Adult")</f>
        <v>Young Adult</v>
      </c>
      <c r="K757" s="4">
        <v>29</v>
      </c>
      <c r="L757" s="4" t="s">
        <v>8</v>
      </c>
      <c r="M757" s="4">
        <v>4</v>
      </c>
      <c r="N757" s="22">
        <v>300</v>
      </c>
      <c r="O757" s="24">
        <f>M757 * N757</f>
        <v>1200</v>
      </c>
      <c r="P757" s="16">
        <f>O757 * $S$3</f>
        <v>18</v>
      </c>
      <c r="Q757" s="16">
        <f>O757 * $S$4</f>
        <v>24</v>
      </c>
    </row>
    <row r="758" spans="1:17">
      <c r="A758" s="2">
        <v>757</v>
      </c>
      <c r="B758" s="4">
        <f t="shared" si="55"/>
        <v>25</v>
      </c>
      <c r="C758" s="4">
        <f t="shared" si="56"/>
        <v>12</v>
      </c>
      <c r="D758" s="4">
        <f t="shared" si="57"/>
        <v>2023</v>
      </c>
      <c r="E758" s="4" t="str">
        <f t="shared" si="58"/>
        <v>Mon</v>
      </c>
      <c r="F758" s="4" t="str">
        <f t="shared" si="59"/>
        <v>Dec</v>
      </c>
      <c r="G758" s="3">
        <v>45285</v>
      </c>
      <c r="H758" s="4" t="s">
        <v>871</v>
      </c>
      <c r="I758" s="4" t="s">
        <v>3</v>
      </c>
      <c r="J758" s="4" t="str" cm="1">
        <f t="array" ref="J758">_xlfn.IFS(K758&gt;=50, "Senior", K758&gt;=30, "Adult", K758&lt;30,"Young Adult")</f>
        <v>Young Adult</v>
      </c>
      <c r="K758" s="4">
        <v>29</v>
      </c>
      <c r="L758" s="4" t="s">
        <v>8</v>
      </c>
      <c r="M758" s="4">
        <v>4</v>
      </c>
      <c r="N758" s="22">
        <v>300</v>
      </c>
      <c r="O758" s="24">
        <f>M758 * N758</f>
        <v>1200</v>
      </c>
      <c r="P758" s="16">
        <f>O758 * $S$3</f>
        <v>18</v>
      </c>
      <c r="Q758" s="16">
        <f>O758 * $S$4</f>
        <v>24</v>
      </c>
    </row>
    <row r="759" spans="1:17">
      <c r="A759" s="2">
        <v>758</v>
      </c>
      <c r="B759" s="4">
        <f t="shared" si="55"/>
        <v>12</v>
      </c>
      <c r="C759" s="4">
        <f t="shared" si="56"/>
        <v>5</v>
      </c>
      <c r="D759" s="4">
        <f t="shared" si="57"/>
        <v>2023</v>
      </c>
      <c r="E759" s="4" t="str">
        <f t="shared" si="58"/>
        <v>Fri</v>
      </c>
      <c r="F759" s="4" t="str">
        <f t="shared" si="59"/>
        <v>May</v>
      </c>
      <c r="G759" s="3">
        <v>45058</v>
      </c>
      <c r="H759" s="4" t="s">
        <v>872</v>
      </c>
      <c r="I759" s="4" t="s">
        <v>4</v>
      </c>
      <c r="J759" s="4" t="str" cm="1">
        <f t="array" ref="J759">_xlfn.IFS(K759&gt;=50, "Senior", K759&gt;=30, "Adult", K759&lt;30,"Young Adult")</f>
        <v>Young Adult</v>
      </c>
      <c r="K759" s="4">
        <v>29</v>
      </c>
      <c r="L759" s="4" t="s">
        <v>7</v>
      </c>
      <c r="M759" s="4">
        <v>4</v>
      </c>
      <c r="N759" s="22">
        <v>25</v>
      </c>
      <c r="O759" s="24">
        <f>M759 * N759</f>
        <v>100</v>
      </c>
      <c r="P759" s="16">
        <f>O759 * $S$3</f>
        <v>1.5</v>
      </c>
      <c r="Q759" s="16">
        <f>O759 * $S$4</f>
        <v>2</v>
      </c>
    </row>
    <row r="760" spans="1:17">
      <c r="A760" s="2">
        <v>759</v>
      </c>
      <c r="B760" s="4">
        <f t="shared" si="55"/>
        <v>8</v>
      </c>
      <c r="C760" s="4">
        <f t="shared" si="56"/>
        <v>7</v>
      </c>
      <c r="D760" s="4">
        <f t="shared" si="57"/>
        <v>2023</v>
      </c>
      <c r="E760" s="4" t="str">
        <f t="shared" si="58"/>
        <v>Sat</v>
      </c>
      <c r="F760" s="4" t="str">
        <f t="shared" si="59"/>
        <v>Jul</v>
      </c>
      <c r="G760" s="3">
        <v>45115</v>
      </c>
      <c r="H760" s="4" t="s">
        <v>873</v>
      </c>
      <c r="I760" s="4" t="s">
        <v>4</v>
      </c>
      <c r="J760" s="4" t="str" cm="1">
        <f t="array" ref="J760">_xlfn.IFS(K760&gt;=50, "Senior", K760&gt;=30, "Adult", K760&lt;30,"Young Adult")</f>
        <v>Young Adult</v>
      </c>
      <c r="K760" s="4">
        <v>29</v>
      </c>
      <c r="L760" s="4" t="s">
        <v>8</v>
      </c>
      <c r="M760" s="4">
        <v>2</v>
      </c>
      <c r="N760" s="22">
        <v>50</v>
      </c>
      <c r="O760" s="24">
        <f>M760 * N760</f>
        <v>100</v>
      </c>
      <c r="P760" s="16">
        <f>O760 * $S$3</f>
        <v>1.5</v>
      </c>
      <c r="Q760" s="16">
        <f>O760 * $S$4</f>
        <v>2</v>
      </c>
    </row>
    <row r="761" spans="1:17">
      <c r="A761" s="2">
        <v>760</v>
      </c>
      <c r="B761" s="4">
        <f t="shared" si="55"/>
        <v>27</v>
      </c>
      <c r="C761" s="4">
        <f t="shared" si="56"/>
        <v>3</v>
      </c>
      <c r="D761" s="4">
        <f t="shared" si="57"/>
        <v>2023</v>
      </c>
      <c r="E761" s="4" t="str">
        <f t="shared" si="58"/>
        <v>Mon</v>
      </c>
      <c r="F761" s="4" t="str">
        <f t="shared" si="59"/>
        <v>Mar</v>
      </c>
      <c r="G761" s="3">
        <v>45012</v>
      </c>
      <c r="H761" s="4" t="s">
        <v>874</v>
      </c>
      <c r="I761" s="4" t="s">
        <v>4</v>
      </c>
      <c r="J761" s="4" t="str" cm="1">
        <f t="array" ref="J761">_xlfn.IFS(K761&gt;=50, "Senior", K761&gt;=30, "Adult", K761&lt;30,"Young Adult")</f>
        <v>Young Adult</v>
      </c>
      <c r="K761" s="4">
        <v>29</v>
      </c>
      <c r="L761" s="4" t="s">
        <v>6</v>
      </c>
      <c r="M761" s="4">
        <v>1</v>
      </c>
      <c r="N761" s="22">
        <v>500</v>
      </c>
      <c r="O761" s="24">
        <f>M761 * N761</f>
        <v>500</v>
      </c>
      <c r="P761" s="16">
        <f>O761 * $S$3</f>
        <v>7.5</v>
      </c>
      <c r="Q761" s="16">
        <f>O761 * $S$4</f>
        <v>10</v>
      </c>
    </row>
    <row r="762" spans="1:17">
      <c r="A762" s="2">
        <v>761</v>
      </c>
      <c r="B762" s="4">
        <f t="shared" si="55"/>
        <v>7</v>
      </c>
      <c r="C762" s="4">
        <f t="shared" si="56"/>
        <v>11</v>
      </c>
      <c r="D762" s="4">
        <f t="shared" si="57"/>
        <v>2023</v>
      </c>
      <c r="E762" s="4" t="str">
        <f t="shared" si="58"/>
        <v>Tue</v>
      </c>
      <c r="F762" s="4" t="str">
        <f t="shared" si="59"/>
        <v>Nov</v>
      </c>
      <c r="G762" s="3">
        <v>45237</v>
      </c>
      <c r="H762" s="4" t="s">
        <v>211</v>
      </c>
      <c r="I762" s="4" t="s">
        <v>3</v>
      </c>
      <c r="J762" s="4" t="str" cm="1">
        <f t="array" ref="J762">_xlfn.IFS(K762&gt;=50, "Senior", K762&gt;=30, "Adult", K762&lt;30,"Young Adult")</f>
        <v>Young Adult</v>
      </c>
      <c r="K762" s="4">
        <v>29</v>
      </c>
      <c r="L762" s="4" t="s">
        <v>7</v>
      </c>
      <c r="M762" s="4">
        <v>1</v>
      </c>
      <c r="N762" s="22">
        <v>500</v>
      </c>
      <c r="O762" s="24">
        <f>M762 * N762</f>
        <v>500</v>
      </c>
      <c r="P762" s="16">
        <f>O762 * $S$3</f>
        <v>7.5</v>
      </c>
      <c r="Q762" s="16">
        <f>O762 * $S$4</f>
        <v>10</v>
      </c>
    </row>
    <row r="763" spans="1:17">
      <c r="A763" s="2">
        <v>762</v>
      </c>
      <c r="B763" s="4">
        <f t="shared" si="55"/>
        <v>7</v>
      </c>
      <c r="C763" s="4">
        <f t="shared" si="56"/>
        <v>11</v>
      </c>
      <c r="D763" s="4">
        <f t="shared" si="57"/>
        <v>2023</v>
      </c>
      <c r="E763" s="4" t="str">
        <f t="shared" si="58"/>
        <v>Tue</v>
      </c>
      <c r="F763" s="4" t="str">
        <f t="shared" si="59"/>
        <v>Nov</v>
      </c>
      <c r="G763" s="3">
        <v>45237</v>
      </c>
      <c r="H763" s="4" t="s">
        <v>875</v>
      </c>
      <c r="I763" s="4" t="s">
        <v>3</v>
      </c>
      <c r="J763" s="4" t="str" cm="1">
        <f t="array" ref="J763">_xlfn.IFS(K763&gt;=50, "Senior", K763&gt;=30, "Adult", K763&lt;30,"Young Adult")</f>
        <v>Young Adult</v>
      </c>
      <c r="K763" s="4">
        <v>29</v>
      </c>
      <c r="L763" s="4" t="s">
        <v>8</v>
      </c>
      <c r="M763" s="4">
        <v>2</v>
      </c>
      <c r="N763" s="22">
        <v>25</v>
      </c>
      <c r="O763" s="24">
        <f>M763 * N763</f>
        <v>50</v>
      </c>
      <c r="P763" s="16">
        <f>O763 * $S$3</f>
        <v>0.75</v>
      </c>
      <c r="Q763" s="16">
        <f>O763 * $S$4</f>
        <v>1</v>
      </c>
    </row>
    <row r="764" spans="1:17">
      <c r="A764" s="2">
        <v>763</v>
      </c>
      <c r="B764" s="4">
        <f t="shared" si="55"/>
        <v>28</v>
      </c>
      <c r="C764" s="4">
        <f t="shared" si="56"/>
        <v>2</v>
      </c>
      <c r="D764" s="4">
        <f t="shared" si="57"/>
        <v>2023</v>
      </c>
      <c r="E764" s="4" t="str">
        <f t="shared" si="58"/>
        <v>Tue</v>
      </c>
      <c r="F764" s="4" t="str">
        <f t="shared" si="59"/>
        <v>Feb</v>
      </c>
      <c r="G764" s="3">
        <v>44985</v>
      </c>
      <c r="H764" s="4" t="s">
        <v>210</v>
      </c>
      <c r="I764" s="4" t="s">
        <v>4</v>
      </c>
      <c r="J764" s="4" t="str" cm="1">
        <f t="array" ref="J764">_xlfn.IFS(K764&gt;=50, "Senior", K764&gt;=30, "Adult", K764&lt;30,"Young Adult")</f>
        <v>Young Adult</v>
      </c>
      <c r="K764" s="4">
        <v>29</v>
      </c>
      <c r="L764" s="4" t="s">
        <v>7</v>
      </c>
      <c r="M764" s="4">
        <v>2</v>
      </c>
      <c r="N764" s="22">
        <v>25</v>
      </c>
      <c r="O764" s="24">
        <f>M764 * N764</f>
        <v>50</v>
      </c>
      <c r="P764" s="16">
        <f>O764 * $S$3</f>
        <v>0.75</v>
      </c>
      <c r="Q764" s="16">
        <f>O764 * $S$4</f>
        <v>1</v>
      </c>
    </row>
    <row r="765" spans="1:17">
      <c r="A765" s="2">
        <v>764</v>
      </c>
      <c r="B765" s="4">
        <f t="shared" si="55"/>
        <v>25</v>
      </c>
      <c r="C765" s="4">
        <f t="shared" si="56"/>
        <v>3</v>
      </c>
      <c r="D765" s="4">
        <f t="shared" si="57"/>
        <v>2023</v>
      </c>
      <c r="E765" s="4" t="str">
        <f t="shared" si="58"/>
        <v>Sat</v>
      </c>
      <c r="F765" s="4" t="str">
        <f t="shared" si="59"/>
        <v>Mar</v>
      </c>
      <c r="G765" s="3">
        <v>45010</v>
      </c>
      <c r="H765" s="4" t="s">
        <v>209</v>
      </c>
      <c r="I765" s="4" t="s">
        <v>3</v>
      </c>
      <c r="J765" s="4" t="str" cm="1">
        <f t="array" ref="J765">_xlfn.IFS(K765&gt;=50, "Senior", K765&gt;=30, "Adult", K765&lt;30,"Young Adult")</f>
        <v>Young Adult</v>
      </c>
      <c r="K765" s="4">
        <v>29</v>
      </c>
      <c r="L765" s="4" t="s">
        <v>7</v>
      </c>
      <c r="M765" s="4">
        <v>1</v>
      </c>
      <c r="N765" s="22">
        <v>25</v>
      </c>
      <c r="O765" s="24">
        <f>M765 * N765</f>
        <v>25</v>
      </c>
      <c r="P765" s="16">
        <f>O765 * $S$3</f>
        <v>0.375</v>
      </c>
      <c r="Q765" s="16">
        <f>O765 * $S$4</f>
        <v>0.5</v>
      </c>
    </row>
    <row r="766" spans="1:17">
      <c r="A766" s="2">
        <v>765</v>
      </c>
      <c r="B766" s="4">
        <f t="shared" si="55"/>
        <v>9</v>
      </c>
      <c r="C766" s="4">
        <f t="shared" si="56"/>
        <v>6</v>
      </c>
      <c r="D766" s="4">
        <f t="shared" si="57"/>
        <v>2023</v>
      </c>
      <c r="E766" s="4" t="str">
        <f t="shared" si="58"/>
        <v>Fri</v>
      </c>
      <c r="F766" s="4" t="str">
        <f t="shared" si="59"/>
        <v>Jun</v>
      </c>
      <c r="G766" s="3">
        <v>45086</v>
      </c>
      <c r="H766" s="4" t="s">
        <v>208</v>
      </c>
      <c r="I766" s="4" t="s">
        <v>4</v>
      </c>
      <c r="J766" s="4" t="str" cm="1">
        <f t="array" ref="J766">_xlfn.IFS(K766&gt;=50, "Senior", K766&gt;=30, "Adult", K766&lt;30,"Young Adult")</f>
        <v>Young Adult</v>
      </c>
      <c r="K766" s="4">
        <v>29</v>
      </c>
      <c r="L766" s="4" t="s">
        <v>7</v>
      </c>
      <c r="M766" s="4">
        <v>4</v>
      </c>
      <c r="N766" s="22">
        <v>50</v>
      </c>
      <c r="O766" s="24">
        <f>M766 * N766</f>
        <v>200</v>
      </c>
      <c r="P766" s="16">
        <f>O766 * $S$3</f>
        <v>3</v>
      </c>
      <c r="Q766" s="16">
        <f>O766 * $S$4</f>
        <v>4</v>
      </c>
    </row>
    <row r="767" spans="1:17">
      <c r="A767" s="2">
        <v>766</v>
      </c>
      <c r="B767" s="4">
        <f t="shared" si="55"/>
        <v>25</v>
      </c>
      <c r="C767" s="4">
        <f t="shared" si="56"/>
        <v>2</v>
      </c>
      <c r="D767" s="4">
        <f t="shared" si="57"/>
        <v>2023</v>
      </c>
      <c r="E767" s="4" t="str">
        <f t="shared" si="58"/>
        <v>Sat</v>
      </c>
      <c r="F767" s="4" t="str">
        <f t="shared" si="59"/>
        <v>Feb</v>
      </c>
      <c r="G767" s="3">
        <v>44982</v>
      </c>
      <c r="H767" s="4" t="s">
        <v>876</v>
      </c>
      <c r="I767" s="4" t="s">
        <v>4</v>
      </c>
      <c r="J767" s="4" t="str" cm="1">
        <f t="array" ref="J767">_xlfn.IFS(K767&gt;=50, "Senior", K767&gt;=30, "Adult", K767&lt;30,"Young Adult")</f>
        <v>Young Adult</v>
      </c>
      <c r="K767" s="4">
        <v>28</v>
      </c>
      <c r="L767" s="4" t="s">
        <v>8</v>
      </c>
      <c r="M767" s="4">
        <v>3</v>
      </c>
      <c r="N767" s="22">
        <v>300</v>
      </c>
      <c r="O767" s="24">
        <f>M767 * N767</f>
        <v>900</v>
      </c>
      <c r="P767" s="16">
        <f>O767 * $S$3</f>
        <v>13.5</v>
      </c>
      <c r="Q767" s="16">
        <f>O767 * $S$4</f>
        <v>18</v>
      </c>
    </row>
    <row r="768" spans="1:17">
      <c r="A768" s="2">
        <v>767</v>
      </c>
      <c r="B768" s="4">
        <f t="shared" si="55"/>
        <v>24</v>
      </c>
      <c r="C768" s="4">
        <f t="shared" si="56"/>
        <v>10</v>
      </c>
      <c r="D768" s="4">
        <f t="shared" si="57"/>
        <v>2023</v>
      </c>
      <c r="E768" s="4" t="str">
        <f t="shared" si="58"/>
        <v>Tue</v>
      </c>
      <c r="F768" s="4" t="str">
        <f t="shared" si="59"/>
        <v>Oct</v>
      </c>
      <c r="G768" s="3">
        <v>45223</v>
      </c>
      <c r="H768" s="4" t="s">
        <v>83</v>
      </c>
      <c r="I768" s="4" t="s">
        <v>4</v>
      </c>
      <c r="J768" s="4" t="str" cm="1">
        <f t="array" ref="J768">_xlfn.IFS(K768&gt;=50, "Senior", K768&gt;=30, "Adult", K768&lt;30,"Young Adult")</f>
        <v>Young Adult</v>
      </c>
      <c r="K768" s="4">
        <v>28</v>
      </c>
      <c r="L768" s="4" t="s">
        <v>6</v>
      </c>
      <c r="M768" s="4">
        <v>3</v>
      </c>
      <c r="N768" s="22">
        <v>25</v>
      </c>
      <c r="O768" s="24">
        <f>M768 * N768</f>
        <v>75</v>
      </c>
      <c r="P768" s="16">
        <f>O768 * $S$3</f>
        <v>1.125</v>
      </c>
      <c r="Q768" s="16">
        <f>O768 * $S$4</f>
        <v>1.5</v>
      </c>
    </row>
    <row r="769" spans="1:17">
      <c r="A769" s="2">
        <v>768</v>
      </c>
      <c r="B769" s="4">
        <f t="shared" si="55"/>
        <v>14</v>
      </c>
      <c r="C769" s="4">
        <f t="shared" si="56"/>
        <v>1</v>
      </c>
      <c r="D769" s="4">
        <f t="shared" si="57"/>
        <v>2023</v>
      </c>
      <c r="E769" s="4" t="str">
        <f t="shared" si="58"/>
        <v>Sat</v>
      </c>
      <c r="F769" s="4" t="str">
        <f t="shared" si="59"/>
        <v>Jan</v>
      </c>
      <c r="G769" s="3">
        <v>44940</v>
      </c>
      <c r="H769" s="4" t="s">
        <v>877</v>
      </c>
      <c r="I769" s="4" t="s">
        <v>3</v>
      </c>
      <c r="J769" s="4" t="str" cm="1">
        <f t="array" ref="J769">_xlfn.IFS(K769&gt;=50, "Senior", K769&gt;=30, "Adult", K769&lt;30,"Young Adult")</f>
        <v>Young Adult</v>
      </c>
      <c r="K769" s="4">
        <v>28</v>
      </c>
      <c r="L769" s="4" t="s">
        <v>6</v>
      </c>
      <c r="M769" s="4">
        <v>3</v>
      </c>
      <c r="N769" s="22">
        <v>25</v>
      </c>
      <c r="O769" s="24">
        <f>M769 * N769</f>
        <v>75</v>
      </c>
      <c r="P769" s="16">
        <f>O769 * $S$3</f>
        <v>1.125</v>
      </c>
      <c r="Q769" s="16">
        <f>O769 * $S$4</f>
        <v>1.5</v>
      </c>
    </row>
    <row r="770" spans="1:17">
      <c r="A770" s="2">
        <v>769</v>
      </c>
      <c r="B770" s="4">
        <f t="shared" si="55"/>
        <v>9</v>
      </c>
      <c r="C770" s="4">
        <f t="shared" si="56"/>
        <v>6</v>
      </c>
      <c r="D770" s="4">
        <f t="shared" si="57"/>
        <v>2023</v>
      </c>
      <c r="E770" s="4" t="str">
        <f t="shared" si="58"/>
        <v>Fri</v>
      </c>
      <c r="F770" s="4" t="str">
        <f t="shared" si="59"/>
        <v>Jun</v>
      </c>
      <c r="G770" s="3">
        <v>45086</v>
      </c>
      <c r="H770" s="4" t="s">
        <v>878</v>
      </c>
      <c r="I770" s="4" t="s">
        <v>3</v>
      </c>
      <c r="J770" s="4" t="str" cm="1">
        <f t="array" ref="J770">_xlfn.IFS(K770&gt;=50, "Senior", K770&gt;=30, "Adult", K770&lt;30,"Young Adult")</f>
        <v>Young Adult</v>
      </c>
      <c r="K770" s="4">
        <v>28</v>
      </c>
      <c r="L770" s="4" t="s">
        <v>8</v>
      </c>
      <c r="M770" s="4">
        <v>4</v>
      </c>
      <c r="N770" s="22">
        <v>30</v>
      </c>
      <c r="O770" s="24">
        <f>M770 * N770</f>
        <v>120</v>
      </c>
      <c r="P770" s="16">
        <f>O770 * $S$3</f>
        <v>1.7999999999999998</v>
      </c>
      <c r="Q770" s="16">
        <f>O770 * $S$4</f>
        <v>2.4</v>
      </c>
    </row>
    <row r="771" spans="1:17">
      <c r="A771" s="2">
        <v>770</v>
      </c>
      <c r="B771" s="4">
        <f t="shared" ref="B771:B834" si="60">DAY(G771)</f>
        <v>22</v>
      </c>
      <c r="C771" s="4">
        <f t="shared" ref="C771:C834" si="61">MONTH(G771)</f>
        <v>10</v>
      </c>
      <c r="D771" s="4">
        <f t="shared" ref="D771:D834" si="62">YEAR(G771)</f>
        <v>2023</v>
      </c>
      <c r="E771" s="4" t="str">
        <f t="shared" ref="E771:E834" si="63">TEXT(G771,"DDD")</f>
        <v>Sun</v>
      </c>
      <c r="F771" s="4" t="str">
        <f t="shared" ref="F771:F834" si="64">TEXT(G771,"MMM")</f>
        <v>Oct</v>
      </c>
      <c r="G771" s="3">
        <v>45221</v>
      </c>
      <c r="H771" s="4" t="s">
        <v>207</v>
      </c>
      <c r="I771" s="4" t="s">
        <v>4</v>
      </c>
      <c r="J771" s="4" t="str" cm="1">
        <f t="array" ref="J771">_xlfn.IFS(K771&gt;=50, "Senior", K771&gt;=30, "Adult", K771&lt;30,"Young Adult")</f>
        <v>Young Adult</v>
      </c>
      <c r="K771" s="4">
        <v>28</v>
      </c>
      <c r="L771" s="4" t="s">
        <v>7</v>
      </c>
      <c r="M771" s="4">
        <v>1</v>
      </c>
      <c r="N771" s="22">
        <v>50</v>
      </c>
      <c r="O771" s="24">
        <f>M771 * N771</f>
        <v>50</v>
      </c>
      <c r="P771" s="16">
        <f>O771 * $S$3</f>
        <v>0.75</v>
      </c>
      <c r="Q771" s="16">
        <f>O771 * $S$4</f>
        <v>1</v>
      </c>
    </row>
    <row r="772" spans="1:17">
      <c r="A772" s="2">
        <v>771</v>
      </c>
      <c r="B772" s="4">
        <f t="shared" si="60"/>
        <v>13</v>
      </c>
      <c r="C772" s="4">
        <f t="shared" si="61"/>
        <v>12</v>
      </c>
      <c r="D772" s="4">
        <f t="shared" si="62"/>
        <v>2023</v>
      </c>
      <c r="E772" s="4" t="str">
        <f t="shared" si="63"/>
        <v>Wed</v>
      </c>
      <c r="F772" s="4" t="str">
        <f t="shared" si="64"/>
        <v>Dec</v>
      </c>
      <c r="G772" s="3">
        <v>45273</v>
      </c>
      <c r="H772" s="4" t="s">
        <v>879</v>
      </c>
      <c r="I772" s="4" t="s">
        <v>4</v>
      </c>
      <c r="J772" s="4" t="str" cm="1">
        <f t="array" ref="J772">_xlfn.IFS(K772&gt;=50, "Senior", K772&gt;=30, "Adult", K772&lt;30,"Young Adult")</f>
        <v>Young Adult</v>
      </c>
      <c r="K772" s="4">
        <v>28</v>
      </c>
      <c r="L772" s="4" t="s">
        <v>8</v>
      </c>
      <c r="M772" s="4">
        <v>2</v>
      </c>
      <c r="N772" s="22">
        <v>25</v>
      </c>
      <c r="O772" s="24">
        <f>M772 * N772</f>
        <v>50</v>
      </c>
      <c r="P772" s="16">
        <f>O772 * $S$3</f>
        <v>0.75</v>
      </c>
      <c r="Q772" s="16">
        <f>O772 * $S$4</f>
        <v>1</v>
      </c>
    </row>
    <row r="773" spans="1:17">
      <c r="A773" s="2">
        <v>772</v>
      </c>
      <c r="B773" s="4">
        <f t="shared" si="60"/>
        <v>12</v>
      </c>
      <c r="C773" s="4">
        <f t="shared" si="61"/>
        <v>7</v>
      </c>
      <c r="D773" s="4">
        <f t="shared" si="62"/>
        <v>2023</v>
      </c>
      <c r="E773" s="4" t="str">
        <f t="shared" si="63"/>
        <v>Wed</v>
      </c>
      <c r="F773" s="4" t="str">
        <f t="shared" si="64"/>
        <v>Jul</v>
      </c>
      <c r="G773" s="3">
        <v>45119</v>
      </c>
      <c r="H773" s="4" t="s">
        <v>880</v>
      </c>
      <c r="I773" s="4" t="s">
        <v>4</v>
      </c>
      <c r="J773" s="4" t="str" cm="1">
        <f t="array" ref="J773">_xlfn.IFS(K773&gt;=50, "Senior", K773&gt;=30, "Adult", K773&lt;30,"Young Adult")</f>
        <v>Young Adult</v>
      </c>
      <c r="K773" s="4">
        <v>28</v>
      </c>
      <c r="L773" s="4" t="s">
        <v>8</v>
      </c>
      <c r="M773" s="4">
        <v>1</v>
      </c>
      <c r="N773" s="22">
        <v>30</v>
      </c>
      <c r="O773" s="24">
        <f>M773 * N773</f>
        <v>30</v>
      </c>
      <c r="P773" s="16">
        <f>O773 * $S$3</f>
        <v>0.44999999999999996</v>
      </c>
      <c r="Q773" s="16">
        <f>O773 * $S$4</f>
        <v>0.6</v>
      </c>
    </row>
    <row r="774" spans="1:17">
      <c r="A774" s="2">
        <v>773</v>
      </c>
      <c r="B774" s="4">
        <f t="shared" si="60"/>
        <v>23</v>
      </c>
      <c r="C774" s="4">
        <f t="shared" si="61"/>
        <v>7</v>
      </c>
      <c r="D774" s="4">
        <f t="shared" si="62"/>
        <v>2023</v>
      </c>
      <c r="E774" s="4" t="str">
        <f t="shared" si="63"/>
        <v>Sun</v>
      </c>
      <c r="F774" s="4" t="str">
        <f t="shared" si="64"/>
        <v>Jul</v>
      </c>
      <c r="G774" s="3">
        <v>45130</v>
      </c>
      <c r="H774" s="4" t="s">
        <v>881</v>
      </c>
      <c r="I774" s="4" t="s">
        <v>4</v>
      </c>
      <c r="J774" s="4" t="str" cm="1">
        <f t="array" ref="J774">_xlfn.IFS(K774&gt;=50, "Senior", K774&gt;=30, "Adult", K774&lt;30,"Young Adult")</f>
        <v>Young Adult</v>
      </c>
      <c r="K774" s="4">
        <v>28</v>
      </c>
      <c r="L774" s="4" t="s">
        <v>8</v>
      </c>
      <c r="M774" s="4">
        <v>4</v>
      </c>
      <c r="N774" s="22">
        <v>500</v>
      </c>
      <c r="O774" s="24">
        <f>M774 * N774</f>
        <v>2000</v>
      </c>
      <c r="P774" s="16">
        <f>O774 * $S$3</f>
        <v>30</v>
      </c>
      <c r="Q774" s="16">
        <f>O774 * $S$4</f>
        <v>40</v>
      </c>
    </row>
    <row r="775" spans="1:17">
      <c r="A775" s="2">
        <v>774</v>
      </c>
      <c r="B775" s="4">
        <f t="shared" si="60"/>
        <v>12</v>
      </c>
      <c r="C775" s="4">
        <f t="shared" si="61"/>
        <v>4</v>
      </c>
      <c r="D775" s="4">
        <f t="shared" si="62"/>
        <v>2023</v>
      </c>
      <c r="E775" s="4" t="str">
        <f t="shared" si="63"/>
        <v>Wed</v>
      </c>
      <c r="F775" s="4" t="str">
        <f t="shared" si="64"/>
        <v>Apr</v>
      </c>
      <c r="G775" s="3">
        <v>45028</v>
      </c>
      <c r="H775" s="4" t="s">
        <v>206</v>
      </c>
      <c r="I775" s="4" t="s">
        <v>3</v>
      </c>
      <c r="J775" s="4" t="str" cm="1">
        <f t="array" ref="J775">_xlfn.IFS(K775&gt;=50, "Senior", K775&gt;=30, "Adult", K775&lt;30,"Young Adult")</f>
        <v>Young Adult</v>
      </c>
      <c r="K775" s="4">
        <v>28</v>
      </c>
      <c r="L775" s="4" t="s">
        <v>7</v>
      </c>
      <c r="M775" s="4">
        <v>2</v>
      </c>
      <c r="N775" s="22">
        <v>25</v>
      </c>
      <c r="O775" s="24">
        <f>M775 * N775</f>
        <v>50</v>
      </c>
      <c r="P775" s="16">
        <f>O775 * $S$3</f>
        <v>0.75</v>
      </c>
      <c r="Q775" s="16">
        <f>O775 * $S$4</f>
        <v>1</v>
      </c>
    </row>
    <row r="776" spans="1:17">
      <c r="A776" s="2">
        <v>775</v>
      </c>
      <c r="B776" s="4">
        <f t="shared" si="60"/>
        <v>8</v>
      </c>
      <c r="C776" s="4">
        <f t="shared" si="61"/>
        <v>2</v>
      </c>
      <c r="D776" s="4">
        <f t="shared" si="62"/>
        <v>2023</v>
      </c>
      <c r="E776" s="4" t="str">
        <f t="shared" si="63"/>
        <v>Wed</v>
      </c>
      <c r="F776" s="4" t="str">
        <f t="shared" si="64"/>
        <v>Feb</v>
      </c>
      <c r="G776" s="3">
        <v>44965</v>
      </c>
      <c r="H776" s="4" t="s">
        <v>882</v>
      </c>
      <c r="I776" s="4" t="s">
        <v>3</v>
      </c>
      <c r="J776" s="4" t="str" cm="1">
        <f t="array" ref="J776">_xlfn.IFS(K776&gt;=50, "Senior", K776&gt;=30, "Adult", K776&lt;30,"Young Adult")</f>
        <v>Young Adult</v>
      </c>
      <c r="K776" s="4">
        <v>28</v>
      </c>
      <c r="L776" s="4" t="s">
        <v>8</v>
      </c>
      <c r="M776" s="4">
        <v>4</v>
      </c>
      <c r="N776" s="22">
        <v>25</v>
      </c>
      <c r="O776" s="24">
        <f>M776 * N776</f>
        <v>100</v>
      </c>
      <c r="P776" s="16">
        <f>O776 * $S$3</f>
        <v>1.5</v>
      </c>
      <c r="Q776" s="16">
        <f>O776 * $S$4</f>
        <v>2</v>
      </c>
    </row>
    <row r="777" spans="1:17">
      <c r="A777" s="2">
        <v>776</v>
      </c>
      <c r="B777" s="4">
        <f t="shared" si="60"/>
        <v>31</v>
      </c>
      <c r="C777" s="4">
        <f t="shared" si="61"/>
        <v>10</v>
      </c>
      <c r="D777" s="4">
        <f t="shared" si="62"/>
        <v>2023</v>
      </c>
      <c r="E777" s="4" t="str">
        <f t="shared" si="63"/>
        <v>Tue</v>
      </c>
      <c r="F777" s="4" t="str">
        <f t="shared" si="64"/>
        <v>Oct</v>
      </c>
      <c r="G777" s="3">
        <v>45230</v>
      </c>
      <c r="H777" s="4" t="s">
        <v>205</v>
      </c>
      <c r="I777" s="4" t="s">
        <v>4</v>
      </c>
      <c r="J777" s="4" t="str" cm="1">
        <f t="array" ref="J777">_xlfn.IFS(K777&gt;=50, "Senior", K777&gt;=30, "Adult", K777&lt;30,"Young Adult")</f>
        <v>Young Adult</v>
      </c>
      <c r="K777" s="4">
        <v>28</v>
      </c>
      <c r="L777" s="4" t="s">
        <v>7</v>
      </c>
      <c r="M777" s="4">
        <v>3</v>
      </c>
      <c r="N777" s="22">
        <v>30</v>
      </c>
      <c r="O777" s="24">
        <f>M777 * N777</f>
        <v>90</v>
      </c>
      <c r="P777" s="16">
        <f>O777 * $S$3</f>
        <v>1.3499999999999999</v>
      </c>
      <c r="Q777" s="16">
        <f>O777 * $S$4</f>
        <v>1.8</v>
      </c>
    </row>
    <row r="778" spans="1:17">
      <c r="A778" s="2">
        <v>777</v>
      </c>
      <c r="B778" s="4">
        <f t="shared" si="60"/>
        <v>20</v>
      </c>
      <c r="C778" s="4">
        <f t="shared" si="61"/>
        <v>12</v>
      </c>
      <c r="D778" s="4">
        <f t="shared" si="62"/>
        <v>2023</v>
      </c>
      <c r="E778" s="4" t="str">
        <f t="shared" si="63"/>
        <v>Wed</v>
      </c>
      <c r="F778" s="4" t="str">
        <f t="shared" si="64"/>
        <v>Dec</v>
      </c>
      <c r="G778" s="3">
        <v>45280</v>
      </c>
      <c r="H778" s="4" t="s">
        <v>883</v>
      </c>
      <c r="I778" s="4" t="s">
        <v>4</v>
      </c>
      <c r="J778" s="4" t="str" cm="1">
        <f t="array" ref="J778">_xlfn.IFS(K778&gt;=50, "Senior", K778&gt;=30, "Adult", K778&lt;30,"Young Adult")</f>
        <v>Young Adult</v>
      </c>
      <c r="K778" s="4">
        <v>28</v>
      </c>
      <c r="L778" s="4" t="s">
        <v>8</v>
      </c>
      <c r="M778" s="4">
        <v>3</v>
      </c>
      <c r="N778" s="22">
        <v>50</v>
      </c>
      <c r="O778" s="24">
        <f>M778 * N778</f>
        <v>150</v>
      </c>
      <c r="P778" s="16">
        <f>O778 * $S$3</f>
        <v>2.25</v>
      </c>
      <c r="Q778" s="16">
        <f>O778 * $S$4</f>
        <v>3</v>
      </c>
    </row>
    <row r="779" spans="1:17">
      <c r="A779" s="2">
        <v>778</v>
      </c>
      <c r="B779" s="4">
        <f t="shared" si="60"/>
        <v>18</v>
      </c>
      <c r="C779" s="4">
        <f t="shared" si="61"/>
        <v>11</v>
      </c>
      <c r="D779" s="4">
        <f t="shared" si="62"/>
        <v>2023</v>
      </c>
      <c r="E779" s="4" t="str">
        <f t="shared" si="63"/>
        <v>Sat</v>
      </c>
      <c r="F779" s="4" t="str">
        <f t="shared" si="64"/>
        <v>Nov</v>
      </c>
      <c r="G779" s="3">
        <v>45248</v>
      </c>
      <c r="H779" s="4" t="s">
        <v>81</v>
      </c>
      <c r="I779" s="4" t="s">
        <v>3</v>
      </c>
      <c r="J779" s="4" t="str" cm="1">
        <f t="array" ref="J779">_xlfn.IFS(K779&gt;=50, "Senior", K779&gt;=30, "Adult", K779&lt;30,"Young Adult")</f>
        <v>Young Adult</v>
      </c>
      <c r="K779" s="4">
        <v>28</v>
      </c>
      <c r="L779" s="4" t="s">
        <v>6</v>
      </c>
      <c r="M779" s="4">
        <v>4</v>
      </c>
      <c r="N779" s="22">
        <v>25</v>
      </c>
      <c r="O779" s="24">
        <f>M779 * N779</f>
        <v>100</v>
      </c>
      <c r="P779" s="16">
        <f>O779 * $S$3</f>
        <v>1.5</v>
      </c>
      <c r="Q779" s="16">
        <f>O779 * $S$4</f>
        <v>2</v>
      </c>
    </row>
    <row r="780" spans="1:17">
      <c r="A780" s="2">
        <v>779</v>
      </c>
      <c r="B780" s="4">
        <f t="shared" si="60"/>
        <v>5</v>
      </c>
      <c r="C780" s="4">
        <f t="shared" si="61"/>
        <v>5</v>
      </c>
      <c r="D780" s="4">
        <f t="shared" si="62"/>
        <v>2023</v>
      </c>
      <c r="E780" s="4" t="str">
        <f t="shared" si="63"/>
        <v>Fri</v>
      </c>
      <c r="F780" s="4" t="str">
        <f t="shared" si="64"/>
        <v>May</v>
      </c>
      <c r="G780" s="3">
        <v>45051</v>
      </c>
      <c r="H780" s="4" t="s">
        <v>884</v>
      </c>
      <c r="I780" s="4" t="s">
        <v>3</v>
      </c>
      <c r="J780" s="4" t="str" cm="1">
        <f t="array" ref="J780">_xlfn.IFS(K780&gt;=50, "Senior", K780&gt;=30, "Adult", K780&lt;30,"Young Adult")</f>
        <v>Young Adult</v>
      </c>
      <c r="K780" s="4">
        <v>28</v>
      </c>
      <c r="L780" s="4" t="s">
        <v>8</v>
      </c>
      <c r="M780" s="4">
        <v>2</v>
      </c>
      <c r="N780" s="22">
        <v>500</v>
      </c>
      <c r="O780" s="24">
        <f>M780 * N780</f>
        <v>1000</v>
      </c>
      <c r="P780" s="16">
        <f>O780 * $S$3</f>
        <v>15</v>
      </c>
      <c r="Q780" s="16">
        <f>O780 * $S$4</f>
        <v>20</v>
      </c>
    </row>
    <row r="781" spans="1:17">
      <c r="A781" s="2">
        <v>780</v>
      </c>
      <c r="B781" s="4">
        <f t="shared" si="60"/>
        <v>22</v>
      </c>
      <c r="C781" s="4">
        <f t="shared" si="61"/>
        <v>2</v>
      </c>
      <c r="D781" s="4">
        <f t="shared" si="62"/>
        <v>2023</v>
      </c>
      <c r="E781" s="4" t="str">
        <f t="shared" si="63"/>
        <v>Wed</v>
      </c>
      <c r="F781" s="4" t="str">
        <f t="shared" si="64"/>
        <v>Feb</v>
      </c>
      <c r="G781" s="3">
        <v>44979</v>
      </c>
      <c r="H781" s="4" t="s">
        <v>885</v>
      </c>
      <c r="I781" s="4" t="s">
        <v>4</v>
      </c>
      <c r="J781" s="4" t="str" cm="1">
        <f t="array" ref="J781">_xlfn.IFS(K781&gt;=50, "Senior", K781&gt;=30, "Adult", K781&lt;30,"Young Adult")</f>
        <v>Young Adult</v>
      </c>
      <c r="K781" s="4">
        <v>28</v>
      </c>
      <c r="L781" s="4" t="s">
        <v>8</v>
      </c>
      <c r="M781" s="4">
        <v>2</v>
      </c>
      <c r="N781" s="22">
        <v>25</v>
      </c>
      <c r="O781" s="24">
        <f>M781 * N781</f>
        <v>50</v>
      </c>
      <c r="P781" s="16">
        <f>O781 * $S$3</f>
        <v>0.75</v>
      </c>
      <c r="Q781" s="16">
        <f>O781 * $S$4</f>
        <v>1</v>
      </c>
    </row>
    <row r="782" spans="1:17">
      <c r="A782" s="2">
        <v>781</v>
      </c>
      <c r="B782" s="4">
        <f t="shared" si="60"/>
        <v>23</v>
      </c>
      <c r="C782" s="4">
        <f t="shared" si="61"/>
        <v>12</v>
      </c>
      <c r="D782" s="4">
        <f t="shared" si="62"/>
        <v>2023</v>
      </c>
      <c r="E782" s="4" t="str">
        <f t="shared" si="63"/>
        <v>Sat</v>
      </c>
      <c r="F782" s="4" t="str">
        <f t="shared" si="64"/>
        <v>Dec</v>
      </c>
      <c r="G782" s="3">
        <v>45283</v>
      </c>
      <c r="H782" s="4" t="s">
        <v>80</v>
      </c>
      <c r="I782" s="4" t="s">
        <v>4</v>
      </c>
      <c r="J782" s="4" t="str" cm="1">
        <f t="array" ref="J782">_xlfn.IFS(K782&gt;=50, "Senior", K782&gt;=30, "Adult", K782&lt;30,"Young Adult")</f>
        <v>Young Adult</v>
      </c>
      <c r="K782" s="4">
        <v>28</v>
      </c>
      <c r="L782" s="4" t="s">
        <v>6</v>
      </c>
      <c r="M782" s="4">
        <v>1</v>
      </c>
      <c r="N782" s="22">
        <v>500</v>
      </c>
      <c r="O782" s="24">
        <f>M782 * N782</f>
        <v>500</v>
      </c>
      <c r="P782" s="16">
        <f>O782 * $S$3</f>
        <v>7.5</v>
      </c>
      <c r="Q782" s="16">
        <f>O782 * $S$4</f>
        <v>10</v>
      </c>
    </row>
    <row r="783" spans="1:17">
      <c r="A783" s="2">
        <v>782</v>
      </c>
      <c r="B783" s="4">
        <f t="shared" si="60"/>
        <v>4</v>
      </c>
      <c r="C783" s="4">
        <f t="shared" si="61"/>
        <v>6</v>
      </c>
      <c r="D783" s="4">
        <f t="shared" si="62"/>
        <v>2023</v>
      </c>
      <c r="E783" s="4" t="str">
        <f t="shared" si="63"/>
        <v>Sun</v>
      </c>
      <c r="F783" s="4" t="str">
        <f t="shared" si="64"/>
        <v>Jun</v>
      </c>
      <c r="G783" s="3">
        <v>45081</v>
      </c>
      <c r="H783" s="4" t="s">
        <v>886</v>
      </c>
      <c r="I783" s="4" t="s">
        <v>4</v>
      </c>
      <c r="J783" s="4" t="str" cm="1">
        <f t="array" ref="J783">_xlfn.IFS(K783&gt;=50, "Senior", K783&gt;=30, "Adult", K783&lt;30,"Young Adult")</f>
        <v>Young Adult</v>
      </c>
      <c r="K783" s="4">
        <v>28</v>
      </c>
      <c r="L783" s="4" t="s">
        <v>7</v>
      </c>
      <c r="M783" s="4">
        <v>3</v>
      </c>
      <c r="N783" s="22">
        <v>300</v>
      </c>
      <c r="O783" s="24">
        <f>M783 * N783</f>
        <v>900</v>
      </c>
      <c r="P783" s="16">
        <f>O783 * $S$3</f>
        <v>13.5</v>
      </c>
      <c r="Q783" s="16">
        <f>O783 * $S$4</f>
        <v>18</v>
      </c>
    </row>
    <row r="784" spans="1:17">
      <c r="A784" s="2">
        <v>783</v>
      </c>
      <c r="B784" s="4">
        <f t="shared" si="60"/>
        <v>17</v>
      </c>
      <c r="C784" s="4">
        <f t="shared" si="61"/>
        <v>12</v>
      </c>
      <c r="D784" s="4">
        <f t="shared" si="62"/>
        <v>2023</v>
      </c>
      <c r="E784" s="4" t="str">
        <f t="shared" si="63"/>
        <v>Sun</v>
      </c>
      <c r="F784" s="4" t="str">
        <f t="shared" si="64"/>
        <v>Dec</v>
      </c>
      <c r="G784" s="3">
        <v>45277</v>
      </c>
      <c r="H784" s="4" t="s">
        <v>887</v>
      </c>
      <c r="I784" s="4" t="s">
        <v>3</v>
      </c>
      <c r="J784" s="4" t="str" cm="1">
        <f t="array" ref="J784">_xlfn.IFS(K784&gt;=50, "Senior", K784&gt;=30, "Adult", K784&lt;30,"Young Adult")</f>
        <v>Young Adult</v>
      </c>
      <c r="K784" s="4">
        <v>28</v>
      </c>
      <c r="L784" s="4" t="s">
        <v>7</v>
      </c>
      <c r="M784" s="4">
        <v>1</v>
      </c>
      <c r="N784" s="22">
        <v>300</v>
      </c>
      <c r="O784" s="24">
        <f>M784 * N784</f>
        <v>300</v>
      </c>
      <c r="P784" s="16">
        <f>O784 * $S$3</f>
        <v>4.5</v>
      </c>
      <c r="Q784" s="16">
        <f>O784 * $S$4</f>
        <v>6</v>
      </c>
    </row>
    <row r="785" spans="1:17">
      <c r="A785" s="2">
        <v>784</v>
      </c>
      <c r="B785" s="4">
        <f t="shared" si="60"/>
        <v>4</v>
      </c>
      <c r="C785" s="4">
        <f t="shared" si="61"/>
        <v>11</v>
      </c>
      <c r="D785" s="4">
        <f t="shared" si="62"/>
        <v>2023</v>
      </c>
      <c r="E785" s="4" t="str">
        <f t="shared" si="63"/>
        <v>Sat</v>
      </c>
      <c r="F785" s="4" t="str">
        <f t="shared" si="64"/>
        <v>Nov</v>
      </c>
      <c r="G785" s="3">
        <v>45234</v>
      </c>
      <c r="H785" s="4" t="s">
        <v>888</v>
      </c>
      <c r="I785" s="4" t="s">
        <v>3</v>
      </c>
      <c r="J785" s="4" t="str" cm="1">
        <f t="array" ref="J785">_xlfn.IFS(K785&gt;=50, "Senior", K785&gt;=30, "Adult", K785&lt;30,"Young Adult")</f>
        <v>Young Adult</v>
      </c>
      <c r="K785" s="4">
        <v>28</v>
      </c>
      <c r="L785" s="4" t="s">
        <v>8</v>
      </c>
      <c r="M785" s="4">
        <v>1</v>
      </c>
      <c r="N785" s="22">
        <v>500</v>
      </c>
      <c r="O785" s="24">
        <f>M785 * N785</f>
        <v>500</v>
      </c>
      <c r="P785" s="16">
        <f>O785 * $S$3</f>
        <v>7.5</v>
      </c>
      <c r="Q785" s="16">
        <f>O785 * $S$4</f>
        <v>10</v>
      </c>
    </row>
    <row r="786" spans="1:17">
      <c r="A786" s="2">
        <v>785</v>
      </c>
      <c r="B786" s="4">
        <f t="shared" si="60"/>
        <v>3</v>
      </c>
      <c r="C786" s="4">
        <f t="shared" si="61"/>
        <v>3</v>
      </c>
      <c r="D786" s="4">
        <f t="shared" si="62"/>
        <v>2023</v>
      </c>
      <c r="E786" s="4" t="str">
        <f t="shared" si="63"/>
        <v>Fri</v>
      </c>
      <c r="F786" s="4" t="str">
        <f t="shared" si="64"/>
        <v>Mar</v>
      </c>
      <c r="G786" s="3">
        <v>44988</v>
      </c>
      <c r="H786" s="4" t="s">
        <v>79</v>
      </c>
      <c r="I786" s="4" t="s">
        <v>3</v>
      </c>
      <c r="J786" s="4" t="str" cm="1">
        <f t="array" ref="J786">_xlfn.IFS(K786&gt;=50, "Senior", K786&gt;=30, "Adult", K786&lt;30,"Young Adult")</f>
        <v>Young Adult</v>
      </c>
      <c r="K786" s="4">
        <v>28</v>
      </c>
      <c r="L786" s="4" t="s">
        <v>6</v>
      </c>
      <c r="M786" s="4">
        <v>4</v>
      </c>
      <c r="N786" s="22">
        <v>50</v>
      </c>
      <c r="O786" s="24">
        <f>M786 * N786</f>
        <v>200</v>
      </c>
      <c r="P786" s="16">
        <f>O786 * $S$3</f>
        <v>3</v>
      </c>
      <c r="Q786" s="16">
        <f>O786 * $S$4</f>
        <v>4</v>
      </c>
    </row>
    <row r="787" spans="1:17">
      <c r="A787" s="2">
        <v>786</v>
      </c>
      <c r="B787" s="4">
        <f t="shared" si="60"/>
        <v>17</v>
      </c>
      <c r="C787" s="4">
        <f t="shared" si="61"/>
        <v>10</v>
      </c>
      <c r="D787" s="4">
        <f t="shared" si="62"/>
        <v>2023</v>
      </c>
      <c r="E787" s="4" t="str">
        <f t="shared" si="63"/>
        <v>Tue</v>
      </c>
      <c r="F787" s="4" t="str">
        <f t="shared" si="64"/>
        <v>Oct</v>
      </c>
      <c r="G787" s="3">
        <v>45216</v>
      </c>
      <c r="H787" s="4" t="s">
        <v>204</v>
      </c>
      <c r="I787" s="4" t="s">
        <v>4</v>
      </c>
      <c r="J787" s="4" t="str" cm="1">
        <f t="array" ref="J787">_xlfn.IFS(K787&gt;=50, "Senior", K787&gt;=30, "Adult", K787&lt;30,"Young Adult")</f>
        <v>Young Adult</v>
      </c>
      <c r="K787" s="4">
        <v>28</v>
      </c>
      <c r="L787" s="4" t="s">
        <v>7</v>
      </c>
      <c r="M787" s="4">
        <v>4</v>
      </c>
      <c r="N787" s="22">
        <v>25</v>
      </c>
      <c r="O787" s="24">
        <f>M787 * N787</f>
        <v>100</v>
      </c>
      <c r="P787" s="16">
        <f>O787 * $S$3</f>
        <v>1.5</v>
      </c>
      <c r="Q787" s="16">
        <f>O787 * $S$4</f>
        <v>2</v>
      </c>
    </row>
    <row r="788" spans="1:17">
      <c r="A788" s="2">
        <v>787</v>
      </c>
      <c r="B788" s="4">
        <f t="shared" si="60"/>
        <v>22</v>
      </c>
      <c r="C788" s="4">
        <f t="shared" si="61"/>
        <v>1</v>
      </c>
      <c r="D788" s="4">
        <f t="shared" si="62"/>
        <v>2023</v>
      </c>
      <c r="E788" s="4" t="str">
        <f t="shared" si="63"/>
        <v>Sun</v>
      </c>
      <c r="F788" s="4" t="str">
        <f t="shared" si="64"/>
        <v>Jan</v>
      </c>
      <c r="G788" s="3">
        <v>44948</v>
      </c>
      <c r="H788" s="4" t="s">
        <v>889</v>
      </c>
      <c r="I788" s="4" t="s">
        <v>4</v>
      </c>
      <c r="J788" s="4" t="str" cm="1">
        <f t="array" ref="J788">_xlfn.IFS(K788&gt;=50, "Senior", K788&gt;=30, "Adult", K788&lt;30,"Young Adult")</f>
        <v>Young Adult</v>
      </c>
      <c r="K788" s="4">
        <v>27</v>
      </c>
      <c r="L788" s="4" t="s">
        <v>8</v>
      </c>
      <c r="M788" s="4">
        <v>1</v>
      </c>
      <c r="N788" s="22">
        <v>25</v>
      </c>
      <c r="O788" s="24">
        <f>M788 * N788</f>
        <v>25</v>
      </c>
      <c r="P788" s="16">
        <f>O788 * $S$3</f>
        <v>0.375</v>
      </c>
      <c r="Q788" s="16">
        <f>O788 * $S$4</f>
        <v>0.5</v>
      </c>
    </row>
    <row r="789" spans="1:17">
      <c r="A789" s="2">
        <v>788</v>
      </c>
      <c r="B789" s="4">
        <f t="shared" si="60"/>
        <v>27</v>
      </c>
      <c r="C789" s="4">
        <f t="shared" si="61"/>
        <v>6</v>
      </c>
      <c r="D789" s="4">
        <f t="shared" si="62"/>
        <v>2023</v>
      </c>
      <c r="E789" s="4" t="str">
        <f t="shared" si="63"/>
        <v>Tue</v>
      </c>
      <c r="F789" s="4" t="str">
        <f t="shared" si="64"/>
        <v>Jun</v>
      </c>
      <c r="G789" s="3">
        <v>45104</v>
      </c>
      <c r="H789" s="4" t="s">
        <v>890</v>
      </c>
      <c r="I789" s="4" t="s">
        <v>3</v>
      </c>
      <c r="J789" s="4" t="str" cm="1">
        <f t="array" ref="J789">_xlfn.IFS(K789&gt;=50, "Senior", K789&gt;=30, "Adult", K789&lt;30,"Young Adult")</f>
        <v>Young Adult</v>
      </c>
      <c r="K789" s="4">
        <v>27</v>
      </c>
      <c r="L789" s="4" t="s">
        <v>6</v>
      </c>
      <c r="M789" s="4">
        <v>3</v>
      </c>
      <c r="N789" s="22">
        <v>300</v>
      </c>
      <c r="O789" s="24">
        <f>M789 * N789</f>
        <v>900</v>
      </c>
      <c r="P789" s="16">
        <f>O789 * $S$3</f>
        <v>13.5</v>
      </c>
      <c r="Q789" s="16">
        <f>O789 * $S$4</f>
        <v>18</v>
      </c>
    </row>
    <row r="790" spans="1:17">
      <c r="A790" s="2">
        <v>789</v>
      </c>
      <c r="B790" s="4">
        <f t="shared" si="60"/>
        <v>30</v>
      </c>
      <c r="C790" s="4">
        <f t="shared" si="61"/>
        <v>9</v>
      </c>
      <c r="D790" s="4">
        <f t="shared" si="62"/>
        <v>2023</v>
      </c>
      <c r="E790" s="4" t="str">
        <f t="shared" si="63"/>
        <v>Sat</v>
      </c>
      <c r="F790" s="4" t="str">
        <f t="shared" si="64"/>
        <v>Sep</v>
      </c>
      <c r="G790" s="3">
        <v>45199</v>
      </c>
      <c r="H790" s="4" t="s">
        <v>891</v>
      </c>
      <c r="I790" s="4" t="s">
        <v>3</v>
      </c>
      <c r="J790" s="4" t="str" cm="1">
        <f t="array" ref="J790">_xlfn.IFS(K790&gt;=50, "Senior", K790&gt;=30, "Adult", K790&lt;30,"Young Adult")</f>
        <v>Young Adult</v>
      </c>
      <c r="K790" s="4">
        <v>27</v>
      </c>
      <c r="L790" s="4" t="s">
        <v>7</v>
      </c>
      <c r="M790" s="4">
        <v>4</v>
      </c>
      <c r="N790" s="22">
        <v>500</v>
      </c>
      <c r="O790" s="24">
        <f>M790 * N790</f>
        <v>2000</v>
      </c>
      <c r="P790" s="16">
        <f>O790 * $S$3</f>
        <v>30</v>
      </c>
      <c r="Q790" s="16">
        <f>O790 * $S$4</f>
        <v>40</v>
      </c>
    </row>
    <row r="791" spans="1:17">
      <c r="A791" s="2">
        <v>790</v>
      </c>
      <c r="B791" s="4">
        <f t="shared" si="60"/>
        <v>8</v>
      </c>
      <c r="C791" s="4">
        <f t="shared" si="61"/>
        <v>8</v>
      </c>
      <c r="D791" s="4">
        <f t="shared" si="62"/>
        <v>2023</v>
      </c>
      <c r="E791" s="4" t="str">
        <f t="shared" si="63"/>
        <v>Tue</v>
      </c>
      <c r="F791" s="4" t="str">
        <f t="shared" si="64"/>
        <v>Aug</v>
      </c>
      <c r="G791" s="3">
        <v>45146</v>
      </c>
      <c r="H791" s="4" t="s">
        <v>892</v>
      </c>
      <c r="I791" s="4" t="s">
        <v>4</v>
      </c>
      <c r="J791" s="4" t="str" cm="1">
        <f t="array" ref="J791">_xlfn.IFS(K791&gt;=50, "Senior", K791&gt;=30, "Adult", K791&lt;30,"Young Adult")</f>
        <v>Young Adult</v>
      </c>
      <c r="K791" s="4">
        <v>27</v>
      </c>
      <c r="L791" s="4" t="s">
        <v>7</v>
      </c>
      <c r="M791" s="4">
        <v>1</v>
      </c>
      <c r="N791" s="22">
        <v>25</v>
      </c>
      <c r="O791" s="24">
        <f>M791 * N791</f>
        <v>25</v>
      </c>
      <c r="P791" s="16">
        <f>O791 * $S$3</f>
        <v>0.375</v>
      </c>
      <c r="Q791" s="16">
        <f>O791 * $S$4</f>
        <v>0.5</v>
      </c>
    </row>
    <row r="792" spans="1:17">
      <c r="A792" s="2">
        <v>791</v>
      </c>
      <c r="B792" s="4">
        <f t="shared" si="60"/>
        <v>5</v>
      </c>
      <c r="C792" s="4">
        <f t="shared" si="61"/>
        <v>12</v>
      </c>
      <c r="D792" s="4">
        <f t="shared" si="62"/>
        <v>2023</v>
      </c>
      <c r="E792" s="4" t="str">
        <f t="shared" si="63"/>
        <v>Tue</v>
      </c>
      <c r="F792" s="4" t="str">
        <f t="shared" si="64"/>
        <v>Dec</v>
      </c>
      <c r="G792" s="3">
        <v>45265</v>
      </c>
      <c r="H792" s="4" t="s">
        <v>893</v>
      </c>
      <c r="I792" s="4" t="s">
        <v>3</v>
      </c>
      <c r="J792" s="4" t="str" cm="1">
        <f t="array" ref="J792">_xlfn.IFS(K792&gt;=50, "Senior", K792&gt;=30, "Adult", K792&lt;30,"Young Adult")</f>
        <v>Young Adult</v>
      </c>
      <c r="K792" s="4">
        <v>27</v>
      </c>
      <c r="L792" s="4" t="s">
        <v>6</v>
      </c>
      <c r="M792" s="4">
        <v>1</v>
      </c>
      <c r="N792" s="22">
        <v>25</v>
      </c>
      <c r="O792" s="24">
        <f>M792 * N792</f>
        <v>25</v>
      </c>
      <c r="P792" s="16">
        <f>O792 * $S$3</f>
        <v>0.375</v>
      </c>
      <c r="Q792" s="16">
        <f>O792 * $S$4</f>
        <v>0.5</v>
      </c>
    </row>
    <row r="793" spans="1:17">
      <c r="A793" s="2">
        <v>792</v>
      </c>
      <c r="B793" s="4">
        <f t="shared" si="60"/>
        <v>9</v>
      </c>
      <c r="C793" s="4">
        <f t="shared" si="61"/>
        <v>7</v>
      </c>
      <c r="D793" s="4">
        <f t="shared" si="62"/>
        <v>2023</v>
      </c>
      <c r="E793" s="4" t="str">
        <f t="shared" si="63"/>
        <v>Sun</v>
      </c>
      <c r="F793" s="4" t="str">
        <f t="shared" si="64"/>
        <v>Jul</v>
      </c>
      <c r="G793" s="3">
        <v>45116</v>
      </c>
      <c r="H793" s="4" t="s">
        <v>894</v>
      </c>
      <c r="I793" s="4" t="s">
        <v>3</v>
      </c>
      <c r="J793" s="4" t="str" cm="1">
        <f t="array" ref="J793">_xlfn.IFS(K793&gt;=50, "Senior", K793&gt;=30, "Adult", K793&lt;30,"Young Adult")</f>
        <v>Young Adult</v>
      </c>
      <c r="K793" s="4">
        <v>27</v>
      </c>
      <c r="L793" s="4" t="s">
        <v>6</v>
      </c>
      <c r="M793" s="4">
        <v>1</v>
      </c>
      <c r="N793" s="22">
        <v>50</v>
      </c>
      <c r="O793" s="24">
        <f>M793 * N793</f>
        <v>50</v>
      </c>
      <c r="P793" s="16">
        <f>O793 * $S$3</f>
        <v>0.75</v>
      </c>
      <c r="Q793" s="16">
        <f>O793 * $S$4</f>
        <v>1</v>
      </c>
    </row>
    <row r="794" spans="1:17">
      <c r="A794" s="2">
        <v>793</v>
      </c>
      <c r="B794" s="4">
        <f t="shared" si="60"/>
        <v>5</v>
      </c>
      <c r="C794" s="4">
        <f t="shared" si="61"/>
        <v>2</v>
      </c>
      <c r="D794" s="4">
        <f t="shared" si="62"/>
        <v>2023</v>
      </c>
      <c r="E794" s="4" t="str">
        <f t="shared" si="63"/>
        <v>Sun</v>
      </c>
      <c r="F794" s="4" t="str">
        <f t="shared" si="64"/>
        <v>Feb</v>
      </c>
      <c r="G794" s="3">
        <v>44962</v>
      </c>
      <c r="H794" s="4" t="s">
        <v>895</v>
      </c>
      <c r="I794" s="4" t="s">
        <v>4</v>
      </c>
      <c r="J794" s="4" t="str" cm="1">
        <f t="array" ref="J794">_xlfn.IFS(K794&gt;=50, "Senior", K794&gt;=30, "Adult", K794&lt;30,"Young Adult")</f>
        <v>Young Adult</v>
      </c>
      <c r="K794" s="4">
        <v>27</v>
      </c>
      <c r="L794" s="4" t="s">
        <v>6</v>
      </c>
      <c r="M794" s="4">
        <v>1</v>
      </c>
      <c r="N794" s="22">
        <v>30</v>
      </c>
      <c r="O794" s="24">
        <f>M794 * N794</f>
        <v>30</v>
      </c>
      <c r="P794" s="16">
        <f>O794 * $S$3</f>
        <v>0.44999999999999996</v>
      </c>
      <c r="Q794" s="16">
        <f>O794 * $S$4</f>
        <v>0.6</v>
      </c>
    </row>
    <row r="795" spans="1:17">
      <c r="A795" s="2">
        <v>794</v>
      </c>
      <c r="B795" s="4">
        <f t="shared" si="60"/>
        <v>17</v>
      </c>
      <c r="C795" s="4">
        <f t="shared" si="61"/>
        <v>9</v>
      </c>
      <c r="D795" s="4">
        <f t="shared" si="62"/>
        <v>2023</v>
      </c>
      <c r="E795" s="4" t="str">
        <f t="shared" si="63"/>
        <v>Sun</v>
      </c>
      <c r="F795" s="4" t="str">
        <f t="shared" si="64"/>
        <v>Sep</v>
      </c>
      <c r="G795" s="3">
        <v>45186</v>
      </c>
      <c r="H795" s="4" t="s">
        <v>896</v>
      </c>
      <c r="I795" s="4" t="s">
        <v>3</v>
      </c>
      <c r="J795" s="4" t="str" cm="1">
        <f t="array" ref="J795">_xlfn.IFS(K795&gt;=50, "Senior", K795&gt;=30, "Adult", K795&lt;30,"Young Adult")</f>
        <v>Young Adult</v>
      </c>
      <c r="K795" s="4">
        <v>27</v>
      </c>
      <c r="L795" s="4" t="s">
        <v>6</v>
      </c>
      <c r="M795" s="4">
        <v>1</v>
      </c>
      <c r="N795" s="22">
        <v>300</v>
      </c>
      <c r="O795" s="24">
        <f>M795 * N795</f>
        <v>300</v>
      </c>
      <c r="P795" s="16">
        <f>O795 * $S$3</f>
        <v>4.5</v>
      </c>
      <c r="Q795" s="16">
        <f>O795 * $S$4</f>
        <v>6</v>
      </c>
    </row>
    <row r="796" spans="1:17">
      <c r="A796" s="2">
        <v>795</v>
      </c>
      <c r="B796" s="4">
        <f t="shared" si="60"/>
        <v>28</v>
      </c>
      <c r="C796" s="4">
        <f t="shared" si="61"/>
        <v>11</v>
      </c>
      <c r="D796" s="4">
        <f t="shared" si="62"/>
        <v>2023</v>
      </c>
      <c r="E796" s="4" t="str">
        <f t="shared" si="63"/>
        <v>Tue</v>
      </c>
      <c r="F796" s="4" t="str">
        <f t="shared" si="64"/>
        <v>Nov</v>
      </c>
      <c r="G796" s="3">
        <v>45258</v>
      </c>
      <c r="H796" s="4" t="s">
        <v>897</v>
      </c>
      <c r="I796" s="4" t="s">
        <v>4</v>
      </c>
      <c r="J796" s="4" t="str" cm="1">
        <f t="array" ref="J796">_xlfn.IFS(K796&gt;=50, "Senior", K796&gt;=30, "Adult", K796&lt;30,"Young Adult")</f>
        <v>Young Adult</v>
      </c>
      <c r="K796" s="4">
        <v>27</v>
      </c>
      <c r="L796" s="4" t="s">
        <v>8</v>
      </c>
      <c r="M796" s="4">
        <v>1</v>
      </c>
      <c r="N796" s="22">
        <v>300</v>
      </c>
      <c r="O796" s="24">
        <f>M796 * N796</f>
        <v>300</v>
      </c>
      <c r="P796" s="16">
        <f>O796 * $S$3</f>
        <v>4.5</v>
      </c>
      <c r="Q796" s="16">
        <f>O796 * $S$4</f>
        <v>6</v>
      </c>
    </row>
    <row r="797" spans="1:17">
      <c r="A797" s="2">
        <v>796</v>
      </c>
      <c r="B797" s="4">
        <f t="shared" si="60"/>
        <v>24</v>
      </c>
      <c r="C797" s="4">
        <f t="shared" si="61"/>
        <v>6</v>
      </c>
      <c r="D797" s="4">
        <f t="shared" si="62"/>
        <v>2023</v>
      </c>
      <c r="E797" s="4" t="str">
        <f t="shared" si="63"/>
        <v>Sat</v>
      </c>
      <c r="F797" s="4" t="str">
        <f t="shared" si="64"/>
        <v>Jun</v>
      </c>
      <c r="G797" s="3">
        <v>45101</v>
      </c>
      <c r="H797" s="4" t="s">
        <v>78</v>
      </c>
      <c r="I797" s="4" t="s">
        <v>4</v>
      </c>
      <c r="J797" s="4" t="str" cm="1">
        <f t="array" ref="J797">_xlfn.IFS(K797&gt;=50, "Senior", K797&gt;=30, "Adult", K797&lt;30,"Young Adult")</f>
        <v>Young Adult</v>
      </c>
      <c r="K797" s="4">
        <v>27</v>
      </c>
      <c r="L797" s="4" t="s">
        <v>6</v>
      </c>
      <c r="M797" s="4">
        <v>4</v>
      </c>
      <c r="N797" s="22">
        <v>30</v>
      </c>
      <c r="O797" s="24">
        <f>M797 * N797</f>
        <v>120</v>
      </c>
      <c r="P797" s="16">
        <f>O797 * $S$3</f>
        <v>1.7999999999999998</v>
      </c>
      <c r="Q797" s="16">
        <f>O797 * $S$4</f>
        <v>2.4</v>
      </c>
    </row>
    <row r="798" spans="1:17">
      <c r="A798" s="2">
        <v>797</v>
      </c>
      <c r="B798" s="4">
        <f t="shared" si="60"/>
        <v>7</v>
      </c>
      <c r="C798" s="4">
        <f t="shared" si="61"/>
        <v>1</v>
      </c>
      <c r="D798" s="4">
        <f t="shared" si="62"/>
        <v>2023</v>
      </c>
      <c r="E798" s="4" t="str">
        <f t="shared" si="63"/>
        <v>Sat</v>
      </c>
      <c r="F798" s="4" t="str">
        <f t="shared" si="64"/>
        <v>Jan</v>
      </c>
      <c r="G798" s="3">
        <v>44933</v>
      </c>
      <c r="H798" s="4" t="s">
        <v>203</v>
      </c>
      <c r="I798" s="4" t="s">
        <v>4</v>
      </c>
      <c r="J798" s="4" t="str" cm="1">
        <f t="array" ref="J798">_xlfn.IFS(K798&gt;=50, "Senior", K798&gt;=30, "Adult", K798&lt;30,"Young Adult")</f>
        <v>Young Adult</v>
      </c>
      <c r="K798" s="4">
        <v>27</v>
      </c>
      <c r="L798" s="4" t="s">
        <v>7</v>
      </c>
      <c r="M798" s="4">
        <v>3</v>
      </c>
      <c r="N798" s="22">
        <v>25</v>
      </c>
      <c r="O798" s="24">
        <f>M798 * N798</f>
        <v>75</v>
      </c>
      <c r="P798" s="16">
        <f>O798 * $S$3</f>
        <v>1.125</v>
      </c>
      <c r="Q798" s="16">
        <f>O798 * $S$4</f>
        <v>1.5</v>
      </c>
    </row>
    <row r="799" spans="1:17">
      <c r="A799" s="2">
        <v>798</v>
      </c>
      <c r="B799" s="4">
        <f t="shared" si="60"/>
        <v>4</v>
      </c>
      <c r="C799" s="4">
        <f t="shared" si="61"/>
        <v>8</v>
      </c>
      <c r="D799" s="4">
        <f t="shared" si="62"/>
        <v>2023</v>
      </c>
      <c r="E799" s="4" t="str">
        <f t="shared" si="63"/>
        <v>Fri</v>
      </c>
      <c r="F799" s="4" t="str">
        <f t="shared" si="64"/>
        <v>Aug</v>
      </c>
      <c r="G799" s="3">
        <v>45142</v>
      </c>
      <c r="H799" s="4" t="s">
        <v>898</v>
      </c>
      <c r="I799" s="4" t="s">
        <v>4</v>
      </c>
      <c r="J799" s="4" t="str" cm="1">
        <f t="array" ref="J799">_xlfn.IFS(K799&gt;=50, "Senior", K799&gt;=30, "Adult", K799&lt;30,"Young Adult")</f>
        <v>Young Adult</v>
      </c>
      <c r="K799" s="4">
        <v>27</v>
      </c>
      <c r="L799" s="4" t="s">
        <v>7</v>
      </c>
      <c r="M799" s="4">
        <v>1</v>
      </c>
      <c r="N799" s="22">
        <v>50</v>
      </c>
      <c r="O799" s="24">
        <f>M799 * N799</f>
        <v>50</v>
      </c>
      <c r="P799" s="16">
        <f>O799 * $S$3</f>
        <v>0.75</v>
      </c>
      <c r="Q799" s="16">
        <f>O799 * $S$4</f>
        <v>1</v>
      </c>
    </row>
    <row r="800" spans="1:17">
      <c r="A800" s="2">
        <v>799</v>
      </c>
      <c r="B800" s="4">
        <f t="shared" si="60"/>
        <v>8</v>
      </c>
      <c r="C800" s="4">
        <f t="shared" si="61"/>
        <v>9</v>
      </c>
      <c r="D800" s="4">
        <f t="shared" si="62"/>
        <v>2023</v>
      </c>
      <c r="E800" s="4" t="str">
        <f t="shared" si="63"/>
        <v>Fri</v>
      </c>
      <c r="F800" s="4" t="str">
        <f t="shared" si="64"/>
        <v>Sep</v>
      </c>
      <c r="G800" s="3">
        <v>45177</v>
      </c>
      <c r="H800" s="4" t="s">
        <v>899</v>
      </c>
      <c r="I800" s="4" t="s">
        <v>4</v>
      </c>
      <c r="J800" s="4" t="str" cm="1">
        <f t="array" ref="J800">_xlfn.IFS(K800&gt;=50, "Senior", K800&gt;=30, "Adult", K800&lt;30,"Young Adult")</f>
        <v>Young Adult</v>
      </c>
      <c r="K800" s="4">
        <v>27</v>
      </c>
      <c r="L800" s="4" t="s">
        <v>8</v>
      </c>
      <c r="M800" s="4">
        <v>2</v>
      </c>
      <c r="N800" s="22">
        <v>50</v>
      </c>
      <c r="O800" s="24">
        <f>M800 * N800</f>
        <v>100</v>
      </c>
      <c r="P800" s="16">
        <f>O800 * $S$3</f>
        <v>1.5</v>
      </c>
      <c r="Q800" s="16">
        <f>O800 * $S$4</f>
        <v>2</v>
      </c>
    </row>
    <row r="801" spans="1:17">
      <c r="A801" s="2">
        <v>800</v>
      </c>
      <c r="B801" s="4">
        <f t="shared" si="60"/>
        <v>24</v>
      </c>
      <c r="C801" s="4">
        <f t="shared" si="61"/>
        <v>2</v>
      </c>
      <c r="D801" s="4">
        <f t="shared" si="62"/>
        <v>2023</v>
      </c>
      <c r="E801" s="4" t="str">
        <f t="shared" si="63"/>
        <v>Fri</v>
      </c>
      <c r="F801" s="4" t="str">
        <f t="shared" si="64"/>
        <v>Feb</v>
      </c>
      <c r="G801" s="3">
        <v>44981</v>
      </c>
      <c r="H801" s="4" t="s">
        <v>202</v>
      </c>
      <c r="I801" s="4" t="s">
        <v>4</v>
      </c>
      <c r="J801" s="4" t="str" cm="1">
        <f t="array" ref="J801">_xlfn.IFS(K801&gt;=50, "Senior", K801&gt;=30, "Adult", K801&lt;30,"Young Adult")</f>
        <v>Young Adult</v>
      </c>
      <c r="K801" s="4">
        <v>27</v>
      </c>
      <c r="L801" s="4" t="s">
        <v>7</v>
      </c>
      <c r="M801" s="4">
        <v>4</v>
      </c>
      <c r="N801" s="22">
        <v>300</v>
      </c>
      <c r="O801" s="24">
        <f>M801 * N801</f>
        <v>1200</v>
      </c>
      <c r="P801" s="16">
        <f>O801 * $S$3</f>
        <v>18</v>
      </c>
      <c r="Q801" s="16">
        <f>O801 * $S$4</f>
        <v>24</v>
      </c>
    </row>
    <row r="802" spans="1:17">
      <c r="A802" s="2">
        <v>801</v>
      </c>
      <c r="B802" s="4">
        <f t="shared" si="60"/>
        <v>10</v>
      </c>
      <c r="C802" s="4">
        <f t="shared" si="61"/>
        <v>8</v>
      </c>
      <c r="D802" s="4">
        <f t="shared" si="62"/>
        <v>2023</v>
      </c>
      <c r="E802" s="4" t="str">
        <f t="shared" si="63"/>
        <v>Thu</v>
      </c>
      <c r="F802" s="4" t="str">
        <f t="shared" si="64"/>
        <v>Aug</v>
      </c>
      <c r="G802" s="3">
        <v>45148</v>
      </c>
      <c r="H802" s="4" t="s">
        <v>900</v>
      </c>
      <c r="I802" s="4" t="s">
        <v>4</v>
      </c>
      <c r="J802" s="4" t="str" cm="1">
        <f t="array" ref="J802">_xlfn.IFS(K802&gt;=50, "Senior", K802&gt;=30, "Adult", K802&lt;30,"Young Adult")</f>
        <v>Young Adult</v>
      </c>
      <c r="K802" s="4">
        <v>27</v>
      </c>
      <c r="L802" s="4" t="s">
        <v>7</v>
      </c>
      <c r="M802" s="4">
        <v>4</v>
      </c>
      <c r="N802" s="22">
        <v>50</v>
      </c>
      <c r="O802" s="24">
        <f>M802 * N802</f>
        <v>200</v>
      </c>
      <c r="P802" s="16">
        <f>O802 * $S$3</f>
        <v>3</v>
      </c>
      <c r="Q802" s="16">
        <f>O802 * $S$4</f>
        <v>4</v>
      </c>
    </row>
    <row r="803" spans="1:17">
      <c r="A803" s="2">
        <v>802</v>
      </c>
      <c r="B803" s="4">
        <f t="shared" si="60"/>
        <v>5</v>
      </c>
      <c r="C803" s="4">
        <f t="shared" si="61"/>
        <v>7</v>
      </c>
      <c r="D803" s="4">
        <f t="shared" si="62"/>
        <v>2023</v>
      </c>
      <c r="E803" s="4" t="str">
        <f t="shared" si="63"/>
        <v>Wed</v>
      </c>
      <c r="F803" s="4" t="str">
        <f t="shared" si="64"/>
        <v>Jul</v>
      </c>
      <c r="G803" s="3">
        <v>45112</v>
      </c>
      <c r="H803" s="4" t="s">
        <v>77</v>
      </c>
      <c r="I803" s="4" t="s">
        <v>3</v>
      </c>
      <c r="J803" s="4" t="str" cm="1">
        <f t="array" ref="J803">_xlfn.IFS(K803&gt;=50, "Senior", K803&gt;=30, "Adult", K803&lt;30,"Young Adult")</f>
        <v>Young Adult</v>
      </c>
      <c r="K803" s="4">
        <v>27</v>
      </c>
      <c r="L803" s="4" t="s">
        <v>6</v>
      </c>
      <c r="M803" s="4">
        <v>1</v>
      </c>
      <c r="N803" s="22">
        <v>30</v>
      </c>
      <c r="O803" s="24">
        <f>M803 * N803</f>
        <v>30</v>
      </c>
      <c r="P803" s="16">
        <f>O803 * $S$3</f>
        <v>0.44999999999999996</v>
      </c>
      <c r="Q803" s="16">
        <f>O803 * $S$4</f>
        <v>0.6</v>
      </c>
    </row>
    <row r="804" spans="1:17">
      <c r="A804" s="2">
        <v>803</v>
      </c>
      <c r="B804" s="4">
        <f t="shared" si="60"/>
        <v>22</v>
      </c>
      <c r="C804" s="4">
        <f t="shared" si="61"/>
        <v>11</v>
      </c>
      <c r="D804" s="4">
        <f t="shared" si="62"/>
        <v>2023</v>
      </c>
      <c r="E804" s="4" t="str">
        <f t="shared" si="63"/>
        <v>Wed</v>
      </c>
      <c r="F804" s="4" t="str">
        <f t="shared" si="64"/>
        <v>Nov</v>
      </c>
      <c r="G804" s="3">
        <v>45252</v>
      </c>
      <c r="H804" s="4" t="s">
        <v>201</v>
      </c>
      <c r="I804" s="4" t="s">
        <v>4</v>
      </c>
      <c r="J804" s="4" t="str" cm="1">
        <f t="array" ref="J804">_xlfn.IFS(K804&gt;=50, "Senior", K804&gt;=30, "Adult", K804&lt;30,"Young Adult")</f>
        <v>Young Adult</v>
      </c>
      <c r="K804" s="4">
        <v>27</v>
      </c>
      <c r="L804" s="4" t="s">
        <v>7</v>
      </c>
      <c r="M804" s="4">
        <v>4</v>
      </c>
      <c r="N804" s="22">
        <v>25</v>
      </c>
      <c r="O804" s="24">
        <f>M804 * N804</f>
        <v>100</v>
      </c>
      <c r="P804" s="16">
        <f>O804 * $S$3</f>
        <v>1.5</v>
      </c>
      <c r="Q804" s="16">
        <f>O804 * $S$4</f>
        <v>2</v>
      </c>
    </row>
    <row r="805" spans="1:17">
      <c r="A805" s="2">
        <v>804</v>
      </c>
      <c r="B805" s="4">
        <f t="shared" si="60"/>
        <v>24</v>
      </c>
      <c r="C805" s="4">
        <f t="shared" si="61"/>
        <v>8</v>
      </c>
      <c r="D805" s="4">
        <f t="shared" si="62"/>
        <v>2023</v>
      </c>
      <c r="E805" s="4" t="str">
        <f t="shared" si="63"/>
        <v>Thu</v>
      </c>
      <c r="F805" s="4" t="str">
        <f t="shared" si="64"/>
        <v>Aug</v>
      </c>
      <c r="G805" s="3">
        <v>45162</v>
      </c>
      <c r="H805" s="4" t="s">
        <v>901</v>
      </c>
      <c r="I805" s="4" t="s">
        <v>4</v>
      </c>
      <c r="J805" s="4" t="str" cm="1">
        <f t="array" ref="J805">_xlfn.IFS(K805&gt;=50, "Senior", K805&gt;=30, "Adult", K805&lt;30,"Young Adult")</f>
        <v>Young Adult</v>
      </c>
      <c r="K805" s="4">
        <v>27</v>
      </c>
      <c r="L805" s="4" t="s">
        <v>8</v>
      </c>
      <c r="M805" s="4">
        <v>1</v>
      </c>
      <c r="N805" s="22">
        <v>30</v>
      </c>
      <c r="O805" s="24">
        <f>M805 * N805</f>
        <v>30</v>
      </c>
      <c r="P805" s="16">
        <f>O805 * $S$3</f>
        <v>0.44999999999999996</v>
      </c>
      <c r="Q805" s="16">
        <f>O805 * $S$4</f>
        <v>0.6</v>
      </c>
    </row>
    <row r="806" spans="1:17">
      <c r="A806" s="2">
        <v>805</v>
      </c>
      <c r="B806" s="4">
        <f t="shared" si="60"/>
        <v>29</v>
      </c>
      <c r="C806" s="4">
        <f t="shared" si="61"/>
        <v>12</v>
      </c>
      <c r="D806" s="4">
        <f t="shared" si="62"/>
        <v>2023</v>
      </c>
      <c r="E806" s="4" t="str">
        <f t="shared" si="63"/>
        <v>Fri</v>
      </c>
      <c r="F806" s="4" t="str">
        <f t="shared" si="64"/>
        <v>Dec</v>
      </c>
      <c r="G806" s="3">
        <v>45289</v>
      </c>
      <c r="H806" s="4" t="s">
        <v>74</v>
      </c>
      <c r="I806" s="4" t="s">
        <v>3</v>
      </c>
      <c r="J806" s="4" t="str" cm="1">
        <f t="array" ref="J806">_xlfn.IFS(K806&gt;=50, "Senior", K806&gt;=30, "Adult", K806&lt;30,"Young Adult")</f>
        <v>Young Adult</v>
      </c>
      <c r="K806" s="4">
        <v>27</v>
      </c>
      <c r="L806" s="4" t="s">
        <v>6</v>
      </c>
      <c r="M806" s="4">
        <v>3</v>
      </c>
      <c r="N806" s="22">
        <v>500</v>
      </c>
      <c r="O806" s="24">
        <f>M806 * N806</f>
        <v>1500</v>
      </c>
      <c r="P806" s="16">
        <f>O806 * $S$3</f>
        <v>22.5</v>
      </c>
      <c r="Q806" s="16">
        <f>O806 * $S$4</f>
        <v>30</v>
      </c>
    </row>
    <row r="807" spans="1:17">
      <c r="A807" s="2">
        <v>806</v>
      </c>
      <c r="B807" s="4">
        <f t="shared" si="60"/>
        <v>20</v>
      </c>
      <c r="C807" s="4">
        <f t="shared" si="61"/>
        <v>3</v>
      </c>
      <c r="D807" s="4">
        <f t="shared" si="62"/>
        <v>2023</v>
      </c>
      <c r="E807" s="4" t="str">
        <f t="shared" si="63"/>
        <v>Mon</v>
      </c>
      <c r="F807" s="4" t="str">
        <f t="shared" si="64"/>
        <v>Mar</v>
      </c>
      <c r="G807" s="3">
        <v>45005</v>
      </c>
      <c r="H807" s="4" t="s">
        <v>72</v>
      </c>
      <c r="I807" s="4" t="s">
        <v>3</v>
      </c>
      <c r="J807" s="4" t="str" cm="1">
        <f t="array" ref="J807">_xlfn.IFS(K807&gt;=50, "Senior", K807&gt;=30, "Adult", K807&lt;30,"Young Adult")</f>
        <v>Young Adult</v>
      </c>
      <c r="K807" s="4">
        <v>27</v>
      </c>
      <c r="L807" s="4" t="s">
        <v>6</v>
      </c>
      <c r="M807" s="4">
        <v>3</v>
      </c>
      <c r="N807" s="22">
        <v>300</v>
      </c>
      <c r="O807" s="24">
        <f>M807 * N807</f>
        <v>900</v>
      </c>
      <c r="P807" s="16">
        <f>O807 * $S$3</f>
        <v>13.5</v>
      </c>
      <c r="Q807" s="16">
        <f>O807 * $S$4</f>
        <v>18</v>
      </c>
    </row>
    <row r="808" spans="1:17">
      <c r="A808" s="2">
        <v>807</v>
      </c>
      <c r="B808" s="4">
        <f t="shared" si="60"/>
        <v>11</v>
      </c>
      <c r="C808" s="4">
        <f t="shared" si="61"/>
        <v>8</v>
      </c>
      <c r="D808" s="4">
        <f t="shared" si="62"/>
        <v>2023</v>
      </c>
      <c r="E808" s="4" t="str">
        <f t="shared" si="63"/>
        <v>Fri</v>
      </c>
      <c r="F808" s="4" t="str">
        <f t="shared" si="64"/>
        <v>Aug</v>
      </c>
      <c r="G808" s="3">
        <v>45149</v>
      </c>
      <c r="H808" s="4" t="s">
        <v>902</v>
      </c>
      <c r="I808" s="4" t="s">
        <v>3</v>
      </c>
      <c r="J808" s="4" t="str" cm="1">
        <f t="array" ref="J808">_xlfn.IFS(K808&gt;=50, "Senior", K808&gt;=30, "Adult", K808&lt;30,"Young Adult")</f>
        <v>Young Adult</v>
      </c>
      <c r="K808" s="4">
        <v>27</v>
      </c>
      <c r="L808" s="4" t="s">
        <v>8</v>
      </c>
      <c r="M808" s="4">
        <v>4</v>
      </c>
      <c r="N808" s="22">
        <v>50</v>
      </c>
      <c r="O808" s="24">
        <f>M808 * N808</f>
        <v>200</v>
      </c>
      <c r="P808" s="16">
        <f>O808 * $S$3</f>
        <v>3</v>
      </c>
      <c r="Q808" s="16">
        <f>O808 * $S$4</f>
        <v>4</v>
      </c>
    </row>
    <row r="809" spans="1:17">
      <c r="A809" s="2">
        <v>808</v>
      </c>
      <c r="B809" s="4">
        <f t="shared" si="60"/>
        <v>1</v>
      </c>
      <c r="C809" s="4">
        <f t="shared" si="61"/>
        <v>4</v>
      </c>
      <c r="D809" s="4">
        <f t="shared" si="62"/>
        <v>2023</v>
      </c>
      <c r="E809" s="4" t="str">
        <f t="shared" si="63"/>
        <v>Sat</v>
      </c>
      <c r="F809" s="4" t="str">
        <f t="shared" si="64"/>
        <v>Apr</v>
      </c>
      <c r="G809" s="3">
        <v>45017</v>
      </c>
      <c r="H809" s="4" t="s">
        <v>67</v>
      </c>
      <c r="I809" s="4" t="s">
        <v>4</v>
      </c>
      <c r="J809" s="4" t="str" cm="1">
        <f t="array" ref="J809">_xlfn.IFS(K809&gt;=50, "Senior", K809&gt;=30, "Adult", K809&lt;30,"Young Adult")</f>
        <v>Young Adult</v>
      </c>
      <c r="K809" s="4">
        <v>27</v>
      </c>
      <c r="L809" s="4" t="s">
        <v>6</v>
      </c>
      <c r="M809" s="4">
        <v>4</v>
      </c>
      <c r="N809" s="22">
        <v>500</v>
      </c>
      <c r="O809" s="24">
        <f>M809 * N809</f>
        <v>2000</v>
      </c>
      <c r="P809" s="16">
        <f>O809 * $S$3</f>
        <v>30</v>
      </c>
      <c r="Q809" s="16">
        <f>O809 * $S$4</f>
        <v>40</v>
      </c>
    </row>
    <row r="810" spans="1:17">
      <c r="A810" s="2">
        <v>809</v>
      </c>
      <c r="B810" s="4">
        <f t="shared" si="60"/>
        <v>25</v>
      </c>
      <c r="C810" s="4">
        <f t="shared" si="61"/>
        <v>9</v>
      </c>
      <c r="D810" s="4">
        <f t="shared" si="62"/>
        <v>2023</v>
      </c>
      <c r="E810" s="4" t="str">
        <f t="shared" si="63"/>
        <v>Mon</v>
      </c>
      <c r="F810" s="4" t="str">
        <f t="shared" si="64"/>
        <v>Sep</v>
      </c>
      <c r="G810" s="3">
        <v>45194</v>
      </c>
      <c r="H810" s="4" t="s">
        <v>903</v>
      </c>
      <c r="I810" s="4" t="s">
        <v>3</v>
      </c>
      <c r="J810" s="4" t="str" cm="1">
        <f t="array" ref="J810">_xlfn.IFS(K810&gt;=50, "Senior", K810&gt;=30, "Adult", K810&lt;30,"Young Adult")</f>
        <v>Young Adult</v>
      </c>
      <c r="K810" s="4">
        <v>27</v>
      </c>
      <c r="L810" s="4" t="s">
        <v>6</v>
      </c>
      <c r="M810" s="4">
        <v>2</v>
      </c>
      <c r="N810" s="22">
        <v>50</v>
      </c>
      <c r="O810" s="24">
        <f>M810 * N810</f>
        <v>100</v>
      </c>
      <c r="P810" s="16">
        <f>O810 * $S$3</f>
        <v>1.5</v>
      </c>
      <c r="Q810" s="16">
        <f>O810 * $S$4</f>
        <v>2</v>
      </c>
    </row>
    <row r="811" spans="1:17">
      <c r="A811" s="2">
        <v>810</v>
      </c>
      <c r="B811" s="4">
        <f t="shared" si="60"/>
        <v>30</v>
      </c>
      <c r="C811" s="4">
        <f t="shared" si="61"/>
        <v>11</v>
      </c>
      <c r="D811" s="4">
        <f t="shared" si="62"/>
        <v>2023</v>
      </c>
      <c r="E811" s="4" t="str">
        <f t="shared" si="63"/>
        <v>Thu</v>
      </c>
      <c r="F811" s="4" t="str">
        <f t="shared" si="64"/>
        <v>Nov</v>
      </c>
      <c r="G811" s="3">
        <v>45260</v>
      </c>
      <c r="H811" s="4" t="s">
        <v>904</v>
      </c>
      <c r="I811" s="4" t="s">
        <v>4</v>
      </c>
      <c r="J811" s="4" t="str" cm="1">
        <f t="array" ref="J811">_xlfn.IFS(K811&gt;=50, "Senior", K811&gt;=30, "Adult", K811&lt;30,"Young Adult")</f>
        <v>Young Adult</v>
      </c>
      <c r="K811" s="4">
        <v>26</v>
      </c>
      <c r="L811" s="4" t="s">
        <v>8</v>
      </c>
      <c r="M811" s="4">
        <v>4</v>
      </c>
      <c r="N811" s="22">
        <v>25</v>
      </c>
      <c r="O811" s="24">
        <f>M811 * N811</f>
        <v>100</v>
      </c>
      <c r="P811" s="16">
        <f>O811 * $S$3</f>
        <v>1.5</v>
      </c>
      <c r="Q811" s="16">
        <f>O811 * $S$4</f>
        <v>2</v>
      </c>
    </row>
    <row r="812" spans="1:17">
      <c r="A812" s="2">
        <v>811</v>
      </c>
      <c r="B812" s="4">
        <f t="shared" si="60"/>
        <v>19</v>
      </c>
      <c r="C812" s="4">
        <f t="shared" si="61"/>
        <v>5</v>
      </c>
      <c r="D812" s="4">
        <f t="shared" si="62"/>
        <v>2023</v>
      </c>
      <c r="E812" s="4" t="str">
        <f t="shared" si="63"/>
        <v>Fri</v>
      </c>
      <c r="F812" s="4" t="str">
        <f t="shared" si="64"/>
        <v>May</v>
      </c>
      <c r="G812" s="3">
        <v>45065</v>
      </c>
      <c r="H812" s="4" t="s">
        <v>905</v>
      </c>
      <c r="I812" s="4" t="s">
        <v>4</v>
      </c>
      <c r="J812" s="4" t="str" cm="1">
        <f t="array" ref="J812">_xlfn.IFS(K812&gt;=50, "Senior", K812&gt;=30, "Adult", K812&lt;30,"Young Adult")</f>
        <v>Young Adult</v>
      </c>
      <c r="K812" s="4">
        <v>26</v>
      </c>
      <c r="L812" s="4" t="s">
        <v>6</v>
      </c>
      <c r="M812" s="4">
        <v>2</v>
      </c>
      <c r="N812" s="22">
        <v>25</v>
      </c>
      <c r="O812" s="24">
        <f>M812 * N812</f>
        <v>50</v>
      </c>
      <c r="P812" s="16">
        <f>O812 * $S$3</f>
        <v>0.75</v>
      </c>
      <c r="Q812" s="16">
        <f>O812 * $S$4</f>
        <v>1</v>
      </c>
    </row>
    <row r="813" spans="1:17">
      <c r="A813" s="2">
        <v>812</v>
      </c>
      <c r="B813" s="4">
        <f t="shared" si="60"/>
        <v>12</v>
      </c>
      <c r="C813" s="4">
        <f t="shared" si="61"/>
        <v>11</v>
      </c>
      <c r="D813" s="4">
        <f t="shared" si="62"/>
        <v>2023</v>
      </c>
      <c r="E813" s="4" t="str">
        <f t="shared" si="63"/>
        <v>Sun</v>
      </c>
      <c r="F813" s="4" t="str">
        <f t="shared" si="64"/>
        <v>Nov</v>
      </c>
      <c r="G813" s="3">
        <v>45242</v>
      </c>
      <c r="H813" s="4" t="s">
        <v>906</v>
      </c>
      <c r="I813" s="4" t="s">
        <v>4</v>
      </c>
      <c r="J813" s="4" t="str" cm="1">
        <f t="array" ref="J813">_xlfn.IFS(K813&gt;=50, "Senior", K813&gt;=30, "Adult", K813&lt;30,"Young Adult")</f>
        <v>Young Adult</v>
      </c>
      <c r="K813" s="4">
        <v>26</v>
      </c>
      <c r="L813" s="4" t="s">
        <v>8</v>
      </c>
      <c r="M813" s="4">
        <v>3</v>
      </c>
      <c r="N813" s="22">
        <v>25</v>
      </c>
      <c r="O813" s="24">
        <f>M813 * N813</f>
        <v>75</v>
      </c>
      <c r="P813" s="16">
        <f>O813 * $S$3</f>
        <v>1.125</v>
      </c>
      <c r="Q813" s="16">
        <f>O813 * $S$4</f>
        <v>1.5</v>
      </c>
    </row>
    <row r="814" spans="1:17">
      <c r="A814" s="2">
        <v>813</v>
      </c>
      <c r="B814" s="4">
        <f t="shared" si="60"/>
        <v>3</v>
      </c>
      <c r="C814" s="4">
        <f t="shared" si="61"/>
        <v>10</v>
      </c>
      <c r="D814" s="4">
        <f t="shared" si="62"/>
        <v>2023</v>
      </c>
      <c r="E814" s="4" t="str">
        <f t="shared" si="63"/>
        <v>Tue</v>
      </c>
      <c r="F814" s="4" t="str">
        <f t="shared" si="64"/>
        <v>Oct</v>
      </c>
      <c r="G814" s="3">
        <v>45202</v>
      </c>
      <c r="H814" s="4" t="s">
        <v>907</v>
      </c>
      <c r="I814" s="4" t="s">
        <v>4</v>
      </c>
      <c r="J814" s="4" t="str" cm="1">
        <f t="array" ref="J814">_xlfn.IFS(K814&gt;=50, "Senior", K814&gt;=30, "Adult", K814&lt;30,"Young Adult")</f>
        <v>Young Adult</v>
      </c>
      <c r="K814" s="4">
        <v>26</v>
      </c>
      <c r="L814" s="4" t="s">
        <v>8</v>
      </c>
      <c r="M814" s="4">
        <v>3</v>
      </c>
      <c r="N814" s="22">
        <v>50</v>
      </c>
      <c r="O814" s="24">
        <f>M814 * N814</f>
        <v>150</v>
      </c>
      <c r="P814" s="16">
        <f>O814 * $S$3</f>
        <v>2.25</v>
      </c>
      <c r="Q814" s="16">
        <f>O814 * $S$4</f>
        <v>3</v>
      </c>
    </row>
    <row r="815" spans="1:17">
      <c r="A815" s="2">
        <v>814</v>
      </c>
      <c r="B815" s="4">
        <f t="shared" si="60"/>
        <v>5</v>
      </c>
      <c r="C815" s="4">
        <f t="shared" si="61"/>
        <v>9</v>
      </c>
      <c r="D815" s="4">
        <f t="shared" si="62"/>
        <v>2023</v>
      </c>
      <c r="E815" s="4" t="str">
        <f t="shared" si="63"/>
        <v>Tue</v>
      </c>
      <c r="F815" s="4" t="str">
        <f t="shared" si="64"/>
        <v>Sep</v>
      </c>
      <c r="G815" s="3">
        <v>45174</v>
      </c>
      <c r="H815" s="4" t="s">
        <v>908</v>
      </c>
      <c r="I815" s="4" t="s">
        <v>3</v>
      </c>
      <c r="J815" s="4" t="str" cm="1">
        <f t="array" ref="J815">_xlfn.IFS(K815&gt;=50, "Senior", K815&gt;=30, "Adult", K815&lt;30,"Young Adult")</f>
        <v>Young Adult</v>
      </c>
      <c r="K815" s="4">
        <v>26</v>
      </c>
      <c r="L815" s="4" t="s">
        <v>7</v>
      </c>
      <c r="M815" s="4">
        <v>1</v>
      </c>
      <c r="N815" s="22">
        <v>500</v>
      </c>
      <c r="O815" s="24">
        <f>M815 * N815</f>
        <v>500</v>
      </c>
      <c r="P815" s="16">
        <f>O815 * $S$3</f>
        <v>7.5</v>
      </c>
      <c r="Q815" s="16">
        <f>O815 * $S$4</f>
        <v>10</v>
      </c>
    </row>
    <row r="816" spans="1:17">
      <c r="A816" s="2">
        <v>815</v>
      </c>
      <c r="B816" s="4">
        <f t="shared" si="60"/>
        <v>27</v>
      </c>
      <c r="C816" s="4">
        <f t="shared" si="61"/>
        <v>8</v>
      </c>
      <c r="D816" s="4">
        <f t="shared" si="62"/>
        <v>2023</v>
      </c>
      <c r="E816" s="4" t="str">
        <f t="shared" si="63"/>
        <v>Sun</v>
      </c>
      <c r="F816" s="4" t="str">
        <f t="shared" si="64"/>
        <v>Aug</v>
      </c>
      <c r="G816" s="3">
        <v>45165</v>
      </c>
      <c r="H816" s="4" t="s">
        <v>909</v>
      </c>
      <c r="I816" s="4" t="s">
        <v>3</v>
      </c>
      <c r="J816" s="4" t="str" cm="1">
        <f t="array" ref="J816">_xlfn.IFS(K816&gt;=50, "Senior", K816&gt;=30, "Adult", K816&lt;30,"Young Adult")</f>
        <v>Young Adult</v>
      </c>
      <c r="K816" s="4">
        <v>26</v>
      </c>
      <c r="L816" s="4" t="s">
        <v>7</v>
      </c>
      <c r="M816" s="4">
        <v>3</v>
      </c>
      <c r="N816" s="22">
        <v>25</v>
      </c>
      <c r="O816" s="24">
        <f>M816 * N816</f>
        <v>75</v>
      </c>
      <c r="P816" s="16">
        <f>O816 * $S$3</f>
        <v>1.125</v>
      </c>
      <c r="Q816" s="16">
        <f>O816 * $S$4</f>
        <v>1.5</v>
      </c>
    </row>
    <row r="817" spans="1:17">
      <c r="A817" s="2">
        <v>816</v>
      </c>
      <c r="B817" s="4">
        <f t="shared" si="60"/>
        <v>12</v>
      </c>
      <c r="C817" s="4">
        <f t="shared" si="61"/>
        <v>8</v>
      </c>
      <c r="D817" s="4">
        <f t="shared" si="62"/>
        <v>2023</v>
      </c>
      <c r="E817" s="4" t="str">
        <f t="shared" si="63"/>
        <v>Sat</v>
      </c>
      <c r="F817" s="4" t="str">
        <f t="shared" si="64"/>
        <v>Aug</v>
      </c>
      <c r="G817" s="3">
        <v>45150</v>
      </c>
      <c r="H817" s="4" t="s">
        <v>66</v>
      </c>
      <c r="I817" s="4" t="s">
        <v>4</v>
      </c>
      <c r="J817" s="4" t="str" cm="1">
        <f t="array" ref="J817">_xlfn.IFS(K817&gt;=50, "Senior", K817&gt;=30, "Adult", K817&lt;30,"Young Adult")</f>
        <v>Young Adult</v>
      </c>
      <c r="K817" s="4">
        <v>26</v>
      </c>
      <c r="L817" s="4" t="s">
        <v>6</v>
      </c>
      <c r="M817" s="4">
        <v>2</v>
      </c>
      <c r="N817" s="22">
        <v>500</v>
      </c>
      <c r="O817" s="24">
        <f>M817 * N817</f>
        <v>1000</v>
      </c>
      <c r="P817" s="16">
        <f>O817 * $S$3</f>
        <v>15</v>
      </c>
      <c r="Q817" s="16">
        <f>O817 * $S$4</f>
        <v>20</v>
      </c>
    </row>
    <row r="818" spans="1:17">
      <c r="A818" s="2">
        <v>817</v>
      </c>
      <c r="B818" s="4">
        <f t="shared" si="60"/>
        <v>31</v>
      </c>
      <c r="C818" s="4">
        <f t="shared" si="61"/>
        <v>10</v>
      </c>
      <c r="D818" s="4">
        <f t="shared" si="62"/>
        <v>2023</v>
      </c>
      <c r="E818" s="4" t="str">
        <f t="shared" si="63"/>
        <v>Tue</v>
      </c>
      <c r="F818" s="4" t="str">
        <f t="shared" si="64"/>
        <v>Oct</v>
      </c>
      <c r="G818" s="3">
        <v>45230</v>
      </c>
      <c r="H818" s="4" t="s">
        <v>65</v>
      </c>
      <c r="I818" s="4" t="s">
        <v>4</v>
      </c>
      <c r="J818" s="4" t="str" cm="1">
        <f t="array" ref="J818">_xlfn.IFS(K818&gt;=50, "Senior", K818&gt;=30, "Adult", K818&lt;30,"Young Adult")</f>
        <v>Young Adult</v>
      </c>
      <c r="K818" s="4">
        <v>26</v>
      </c>
      <c r="L818" s="4" t="s">
        <v>6</v>
      </c>
      <c r="M818" s="4">
        <v>4</v>
      </c>
      <c r="N818" s="22">
        <v>50</v>
      </c>
      <c r="O818" s="24">
        <f>M818 * N818</f>
        <v>200</v>
      </c>
      <c r="P818" s="16">
        <f>O818 * $S$3</f>
        <v>3</v>
      </c>
      <c r="Q818" s="16">
        <f>O818 * $S$4</f>
        <v>4</v>
      </c>
    </row>
    <row r="819" spans="1:17">
      <c r="A819" s="2">
        <v>818</v>
      </c>
      <c r="B819" s="4">
        <f t="shared" si="60"/>
        <v>18</v>
      </c>
      <c r="C819" s="4">
        <f t="shared" si="61"/>
        <v>5</v>
      </c>
      <c r="D819" s="4">
        <f t="shared" si="62"/>
        <v>2023</v>
      </c>
      <c r="E819" s="4" t="str">
        <f t="shared" si="63"/>
        <v>Thu</v>
      </c>
      <c r="F819" s="4" t="str">
        <f t="shared" si="64"/>
        <v>May</v>
      </c>
      <c r="G819" s="3">
        <v>45064</v>
      </c>
      <c r="H819" s="4" t="s">
        <v>910</v>
      </c>
      <c r="I819" s="4" t="s">
        <v>4</v>
      </c>
      <c r="J819" s="4" t="str" cm="1">
        <f t="array" ref="J819">_xlfn.IFS(K819&gt;=50, "Senior", K819&gt;=30, "Adult", K819&lt;30,"Young Adult")</f>
        <v>Young Adult</v>
      </c>
      <c r="K819" s="4">
        <v>26</v>
      </c>
      <c r="L819" s="4" t="s">
        <v>8</v>
      </c>
      <c r="M819" s="4">
        <v>1</v>
      </c>
      <c r="N819" s="22">
        <v>500</v>
      </c>
      <c r="O819" s="24">
        <f>M819 * N819</f>
        <v>500</v>
      </c>
      <c r="P819" s="16">
        <f>O819 * $S$3</f>
        <v>7.5</v>
      </c>
      <c r="Q819" s="16">
        <f>O819 * $S$4</f>
        <v>10</v>
      </c>
    </row>
    <row r="820" spans="1:17">
      <c r="A820" s="2">
        <v>819</v>
      </c>
      <c r="B820" s="4">
        <f t="shared" si="60"/>
        <v>15</v>
      </c>
      <c r="C820" s="4">
        <f t="shared" si="61"/>
        <v>6</v>
      </c>
      <c r="D820" s="4">
        <f t="shared" si="62"/>
        <v>2023</v>
      </c>
      <c r="E820" s="4" t="str">
        <f t="shared" si="63"/>
        <v>Thu</v>
      </c>
      <c r="F820" s="4" t="str">
        <f t="shared" si="64"/>
        <v>Jun</v>
      </c>
      <c r="G820" s="3">
        <v>45092</v>
      </c>
      <c r="H820" s="4" t="s">
        <v>64</v>
      </c>
      <c r="I820" s="4" t="s">
        <v>3</v>
      </c>
      <c r="J820" s="4" t="str" cm="1">
        <f t="array" ref="J820">_xlfn.IFS(K820&gt;=50, "Senior", K820&gt;=30, "Adult", K820&lt;30,"Young Adult")</f>
        <v>Young Adult</v>
      </c>
      <c r="K820" s="4">
        <v>26</v>
      </c>
      <c r="L820" s="4" t="s">
        <v>6</v>
      </c>
      <c r="M820" s="4">
        <v>2</v>
      </c>
      <c r="N820" s="22">
        <v>50</v>
      </c>
      <c r="O820" s="24">
        <f>M820 * N820</f>
        <v>100</v>
      </c>
      <c r="P820" s="16">
        <f>O820 * $S$3</f>
        <v>1.5</v>
      </c>
      <c r="Q820" s="16">
        <f>O820 * $S$4</f>
        <v>2</v>
      </c>
    </row>
    <row r="821" spans="1:17">
      <c r="A821" s="2">
        <v>820</v>
      </c>
      <c r="B821" s="4">
        <f t="shared" si="60"/>
        <v>6</v>
      </c>
      <c r="C821" s="4">
        <f t="shared" si="61"/>
        <v>5</v>
      </c>
      <c r="D821" s="4">
        <f t="shared" si="62"/>
        <v>2023</v>
      </c>
      <c r="E821" s="4" t="str">
        <f t="shared" si="63"/>
        <v>Sat</v>
      </c>
      <c r="F821" s="4" t="str">
        <f t="shared" si="64"/>
        <v>May</v>
      </c>
      <c r="G821" s="3">
        <v>45052</v>
      </c>
      <c r="H821" s="4" t="s">
        <v>911</v>
      </c>
      <c r="I821" s="4" t="s">
        <v>4</v>
      </c>
      <c r="J821" s="4" t="str" cm="1">
        <f t="array" ref="J821">_xlfn.IFS(K821&gt;=50, "Senior", K821&gt;=30, "Adult", K821&lt;30,"Young Adult")</f>
        <v>Young Adult</v>
      </c>
      <c r="K821" s="4">
        <v>26</v>
      </c>
      <c r="L821" s="4" t="s">
        <v>8</v>
      </c>
      <c r="M821" s="4">
        <v>4</v>
      </c>
      <c r="N821" s="22">
        <v>50</v>
      </c>
      <c r="O821" s="24">
        <f>M821 * N821</f>
        <v>200</v>
      </c>
      <c r="P821" s="16">
        <f>O821 * $S$3</f>
        <v>3</v>
      </c>
      <c r="Q821" s="16">
        <f>O821 * $S$4</f>
        <v>4</v>
      </c>
    </row>
    <row r="822" spans="1:17">
      <c r="A822" s="2">
        <v>821</v>
      </c>
      <c r="B822" s="4">
        <f t="shared" si="60"/>
        <v>14</v>
      </c>
      <c r="C822" s="4">
        <f t="shared" si="61"/>
        <v>2</v>
      </c>
      <c r="D822" s="4">
        <f t="shared" si="62"/>
        <v>2023</v>
      </c>
      <c r="E822" s="4" t="str">
        <f t="shared" si="63"/>
        <v>Tue</v>
      </c>
      <c r="F822" s="4" t="str">
        <f t="shared" si="64"/>
        <v>Feb</v>
      </c>
      <c r="G822" s="3">
        <v>44971</v>
      </c>
      <c r="H822" s="4" t="s">
        <v>912</v>
      </c>
      <c r="I822" s="4" t="s">
        <v>4</v>
      </c>
      <c r="J822" s="4" t="str" cm="1">
        <f t="array" ref="J822">_xlfn.IFS(K822&gt;=50, "Senior", K822&gt;=30, "Adult", K822&lt;30,"Young Adult")</f>
        <v>Young Adult</v>
      </c>
      <c r="K822" s="4">
        <v>26</v>
      </c>
      <c r="L822" s="4" t="s">
        <v>8</v>
      </c>
      <c r="M822" s="4">
        <v>1</v>
      </c>
      <c r="N822" s="22">
        <v>300</v>
      </c>
      <c r="O822" s="24">
        <f>M822 * N822</f>
        <v>300</v>
      </c>
      <c r="P822" s="16">
        <f>O822 * $S$3</f>
        <v>4.5</v>
      </c>
      <c r="Q822" s="16">
        <f>O822 * $S$4</f>
        <v>6</v>
      </c>
    </row>
    <row r="823" spans="1:17">
      <c r="A823" s="2">
        <v>822</v>
      </c>
      <c r="B823" s="4">
        <f t="shared" si="60"/>
        <v>23</v>
      </c>
      <c r="C823" s="4">
        <f t="shared" si="61"/>
        <v>5</v>
      </c>
      <c r="D823" s="4">
        <f t="shared" si="62"/>
        <v>2023</v>
      </c>
      <c r="E823" s="4" t="str">
        <f t="shared" si="63"/>
        <v>Tue</v>
      </c>
      <c r="F823" s="4" t="str">
        <f t="shared" si="64"/>
        <v>May</v>
      </c>
      <c r="G823" s="3">
        <v>45069</v>
      </c>
      <c r="H823" s="4" t="s">
        <v>913</v>
      </c>
      <c r="I823" s="4" t="s">
        <v>3</v>
      </c>
      <c r="J823" s="4" t="str" cm="1">
        <f t="array" ref="J823">_xlfn.IFS(K823&gt;=50, "Senior", K823&gt;=30, "Adult", K823&lt;30,"Young Adult")</f>
        <v>Young Adult</v>
      </c>
      <c r="K823" s="4">
        <v>26</v>
      </c>
      <c r="L823" s="4" t="s">
        <v>6</v>
      </c>
      <c r="M823" s="4">
        <v>3</v>
      </c>
      <c r="N823" s="22">
        <v>50</v>
      </c>
      <c r="O823" s="24">
        <f>M823 * N823</f>
        <v>150</v>
      </c>
      <c r="P823" s="16">
        <f>O823 * $S$3</f>
        <v>2.25</v>
      </c>
      <c r="Q823" s="16">
        <f>O823 * $S$4</f>
        <v>3</v>
      </c>
    </row>
    <row r="824" spans="1:17">
      <c r="A824" s="2">
        <v>823</v>
      </c>
      <c r="B824" s="4">
        <f t="shared" si="60"/>
        <v>19</v>
      </c>
      <c r="C824" s="4">
        <f t="shared" si="61"/>
        <v>8</v>
      </c>
      <c r="D824" s="4">
        <f t="shared" si="62"/>
        <v>2023</v>
      </c>
      <c r="E824" s="4" t="str">
        <f t="shared" si="63"/>
        <v>Sat</v>
      </c>
      <c r="F824" s="4" t="str">
        <f t="shared" si="64"/>
        <v>Aug</v>
      </c>
      <c r="G824" s="3">
        <v>45157</v>
      </c>
      <c r="H824" s="4" t="s">
        <v>914</v>
      </c>
      <c r="I824" s="4" t="s">
        <v>3</v>
      </c>
      <c r="J824" s="4" t="str" cm="1">
        <f t="array" ref="J824">_xlfn.IFS(K824&gt;=50, "Senior", K824&gt;=30, "Adult", K824&lt;30,"Young Adult")</f>
        <v>Young Adult</v>
      </c>
      <c r="K824" s="4">
        <v>26</v>
      </c>
      <c r="L824" s="4" t="s">
        <v>8</v>
      </c>
      <c r="M824" s="4">
        <v>2</v>
      </c>
      <c r="N824" s="22">
        <v>50</v>
      </c>
      <c r="O824" s="24">
        <f>M824 * N824</f>
        <v>100</v>
      </c>
      <c r="P824" s="16">
        <f>O824 * $S$3</f>
        <v>1.5</v>
      </c>
      <c r="Q824" s="16">
        <f>O824 * $S$4</f>
        <v>2</v>
      </c>
    </row>
    <row r="825" spans="1:17">
      <c r="A825" s="2">
        <v>824</v>
      </c>
      <c r="B825" s="4">
        <f t="shared" si="60"/>
        <v>5</v>
      </c>
      <c r="C825" s="4">
        <f t="shared" si="61"/>
        <v>5</v>
      </c>
      <c r="D825" s="4">
        <f t="shared" si="62"/>
        <v>2023</v>
      </c>
      <c r="E825" s="4" t="str">
        <f t="shared" si="63"/>
        <v>Fri</v>
      </c>
      <c r="F825" s="4" t="str">
        <f t="shared" si="64"/>
        <v>May</v>
      </c>
      <c r="G825" s="3">
        <v>45051</v>
      </c>
      <c r="H825" s="4" t="s">
        <v>915</v>
      </c>
      <c r="I825" s="4" t="s">
        <v>4</v>
      </c>
      <c r="J825" s="4" t="str" cm="1">
        <f t="array" ref="J825">_xlfn.IFS(K825&gt;=50, "Senior", K825&gt;=30, "Adult", K825&lt;30,"Young Adult")</f>
        <v>Young Adult</v>
      </c>
      <c r="K825" s="4">
        <v>26</v>
      </c>
      <c r="L825" s="4" t="s">
        <v>7</v>
      </c>
      <c r="M825" s="4">
        <v>4</v>
      </c>
      <c r="N825" s="22">
        <v>30</v>
      </c>
      <c r="O825" s="24">
        <f>M825 * N825</f>
        <v>120</v>
      </c>
      <c r="P825" s="16">
        <f>O825 * $S$3</f>
        <v>1.7999999999999998</v>
      </c>
      <c r="Q825" s="16">
        <f>O825 * $S$4</f>
        <v>2.4</v>
      </c>
    </row>
    <row r="826" spans="1:17">
      <c r="A826" s="2">
        <v>825</v>
      </c>
      <c r="B826" s="4">
        <f t="shared" si="60"/>
        <v>26</v>
      </c>
      <c r="C826" s="4">
        <f t="shared" si="61"/>
        <v>8</v>
      </c>
      <c r="D826" s="4">
        <f t="shared" si="62"/>
        <v>2023</v>
      </c>
      <c r="E826" s="4" t="str">
        <f t="shared" si="63"/>
        <v>Sat</v>
      </c>
      <c r="F826" s="4" t="str">
        <f t="shared" si="64"/>
        <v>Aug</v>
      </c>
      <c r="G826" s="3">
        <v>45164</v>
      </c>
      <c r="H826" s="4" t="s">
        <v>63</v>
      </c>
      <c r="I826" s="4" t="s">
        <v>3</v>
      </c>
      <c r="J826" s="4" t="str" cm="1">
        <f t="array" ref="J826">_xlfn.IFS(K826&gt;=50, "Senior", K826&gt;=30, "Adult", K826&lt;30,"Young Adult")</f>
        <v>Young Adult</v>
      </c>
      <c r="K826" s="4">
        <v>26</v>
      </c>
      <c r="L826" s="4" t="s">
        <v>6</v>
      </c>
      <c r="M826" s="4">
        <v>1</v>
      </c>
      <c r="N826" s="22">
        <v>25</v>
      </c>
      <c r="O826" s="24">
        <f>M826 * N826</f>
        <v>25</v>
      </c>
      <c r="P826" s="16">
        <f>O826 * $S$3</f>
        <v>0.375</v>
      </c>
      <c r="Q826" s="16">
        <f>O826 * $S$4</f>
        <v>0.5</v>
      </c>
    </row>
    <row r="827" spans="1:17">
      <c r="A827" s="2">
        <v>826</v>
      </c>
      <c r="B827" s="4">
        <f t="shared" si="60"/>
        <v>19</v>
      </c>
      <c r="C827" s="4">
        <f t="shared" si="61"/>
        <v>10</v>
      </c>
      <c r="D827" s="4">
        <f t="shared" si="62"/>
        <v>2023</v>
      </c>
      <c r="E827" s="4" t="str">
        <f t="shared" si="63"/>
        <v>Thu</v>
      </c>
      <c r="F827" s="4" t="str">
        <f t="shared" si="64"/>
        <v>Oct</v>
      </c>
      <c r="G827" s="3">
        <v>45218</v>
      </c>
      <c r="H827" s="4" t="s">
        <v>200</v>
      </c>
      <c r="I827" s="4" t="s">
        <v>3</v>
      </c>
      <c r="J827" s="4" t="str" cm="1">
        <f t="array" ref="J827">_xlfn.IFS(K827&gt;=50, "Senior", K827&gt;=30, "Adult", K827&lt;30,"Young Adult")</f>
        <v>Young Adult</v>
      </c>
      <c r="K827" s="4">
        <v>26</v>
      </c>
      <c r="L827" s="4" t="s">
        <v>7</v>
      </c>
      <c r="M827" s="4">
        <v>1</v>
      </c>
      <c r="N827" s="22">
        <v>300</v>
      </c>
      <c r="O827" s="24">
        <f>M827 * N827</f>
        <v>300</v>
      </c>
      <c r="P827" s="16">
        <f>O827 * $S$3</f>
        <v>4.5</v>
      </c>
      <c r="Q827" s="16">
        <f>O827 * $S$4</f>
        <v>6</v>
      </c>
    </row>
    <row r="828" spans="1:17">
      <c r="A828" s="2">
        <v>827</v>
      </c>
      <c r="B828" s="4">
        <f t="shared" si="60"/>
        <v>9</v>
      </c>
      <c r="C828" s="4">
        <f t="shared" si="61"/>
        <v>11</v>
      </c>
      <c r="D828" s="4">
        <f t="shared" si="62"/>
        <v>2023</v>
      </c>
      <c r="E828" s="4" t="str">
        <f t="shared" si="63"/>
        <v>Thu</v>
      </c>
      <c r="F828" s="4" t="str">
        <f t="shared" si="64"/>
        <v>Nov</v>
      </c>
      <c r="G828" s="3">
        <v>45239</v>
      </c>
      <c r="H828" s="4" t="s">
        <v>916</v>
      </c>
      <c r="I828" s="4" t="s">
        <v>4</v>
      </c>
      <c r="J828" s="4" t="str" cm="1">
        <f t="array" ref="J828">_xlfn.IFS(K828&gt;=50, "Senior", K828&gt;=30, "Adult", K828&lt;30,"Young Adult")</f>
        <v>Young Adult</v>
      </c>
      <c r="K828" s="4">
        <v>26</v>
      </c>
      <c r="L828" s="4" t="s">
        <v>6</v>
      </c>
      <c r="M828" s="4">
        <v>3</v>
      </c>
      <c r="N828" s="22">
        <v>300</v>
      </c>
      <c r="O828" s="24">
        <f>M828 * N828</f>
        <v>900</v>
      </c>
      <c r="P828" s="16">
        <f>O828 * $S$3</f>
        <v>13.5</v>
      </c>
      <c r="Q828" s="16">
        <f>O828 * $S$4</f>
        <v>18</v>
      </c>
    </row>
    <row r="829" spans="1:17">
      <c r="A829" s="2">
        <v>828</v>
      </c>
      <c r="B829" s="4">
        <f t="shared" si="60"/>
        <v>9</v>
      </c>
      <c r="C829" s="4">
        <f t="shared" si="61"/>
        <v>12</v>
      </c>
      <c r="D829" s="4">
        <f t="shared" si="62"/>
        <v>2023</v>
      </c>
      <c r="E829" s="4" t="str">
        <f t="shared" si="63"/>
        <v>Sat</v>
      </c>
      <c r="F829" s="4" t="str">
        <f t="shared" si="64"/>
        <v>Dec</v>
      </c>
      <c r="G829" s="3">
        <v>45269</v>
      </c>
      <c r="H829" s="4" t="s">
        <v>917</v>
      </c>
      <c r="I829" s="4" t="s">
        <v>3</v>
      </c>
      <c r="J829" s="4" t="str" cm="1">
        <f t="array" ref="J829">_xlfn.IFS(K829&gt;=50, "Senior", K829&gt;=30, "Adult", K829&lt;30,"Young Adult")</f>
        <v>Young Adult</v>
      </c>
      <c r="K829" s="4">
        <v>26</v>
      </c>
      <c r="L829" s="4" t="s">
        <v>8</v>
      </c>
      <c r="M829" s="4">
        <v>4</v>
      </c>
      <c r="N829" s="22">
        <v>300</v>
      </c>
      <c r="O829" s="24">
        <f>M829 * N829</f>
        <v>1200</v>
      </c>
      <c r="P829" s="16">
        <f>O829 * $S$3</f>
        <v>18</v>
      </c>
      <c r="Q829" s="16">
        <f>O829 * $S$4</f>
        <v>24</v>
      </c>
    </row>
    <row r="830" spans="1:17">
      <c r="A830" s="2">
        <v>829</v>
      </c>
      <c r="B830" s="4">
        <f t="shared" si="60"/>
        <v>14</v>
      </c>
      <c r="C830" s="4">
        <f t="shared" si="61"/>
        <v>7</v>
      </c>
      <c r="D830" s="4">
        <f t="shared" si="62"/>
        <v>2023</v>
      </c>
      <c r="E830" s="4" t="str">
        <f t="shared" si="63"/>
        <v>Fri</v>
      </c>
      <c r="F830" s="4" t="str">
        <f t="shared" si="64"/>
        <v>Jul</v>
      </c>
      <c r="G830" s="3">
        <v>45121</v>
      </c>
      <c r="H830" s="4" t="s">
        <v>918</v>
      </c>
      <c r="I830" s="4" t="s">
        <v>4</v>
      </c>
      <c r="J830" s="4" t="str" cm="1">
        <f t="array" ref="J830">_xlfn.IFS(K830&gt;=50, "Senior", K830&gt;=30, "Adult", K830&lt;30,"Young Adult")</f>
        <v>Young Adult</v>
      </c>
      <c r="K830" s="4">
        <v>26</v>
      </c>
      <c r="L830" s="4" t="s">
        <v>6</v>
      </c>
      <c r="M830" s="4">
        <v>3</v>
      </c>
      <c r="N830" s="22">
        <v>30</v>
      </c>
      <c r="O830" s="24">
        <f>M830 * N830</f>
        <v>90</v>
      </c>
      <c r="P830" s="16">
        <f>O830 * $S$3</f>
        <v>1.3499999999999999</v>
      </c>
      <c r="Q830" s="16">
        <f>O830 * $S$4</f>
        <v>1.8</v>
      </c>
    </row>
    <row r="831" spans="1:17">
      <c r="A831" s="2">
        <v>830</v>
      </c>
      <c r="B831" s="4">
        <f t="shared" si="60"/>
        <v>22</v>
      </c>
      <c r="C831" s="4">
        <f t="shared" si="61"/>
        <v>6</v>
      </c>
      <c r="D831" s="4">
        <f t="shared" si="62"/>
        <v>2023</v>
      </c>
      <c r="E831" s="4" t="str">
        <f t="shared" si="63"/>
        <v>Thu</v>
      </c>
      <c r="F831" s="4" t="str">
        <f t="shared" si="64"/>
        <v>Jun</v>
      </c>
      <c r="G831" s="3">
        <v>45099</v>
      </c>
      <c r="H831" s="4" t="s">
        <v>919</v>
      </c>
      <c r="I831" s="4" t="s">
        <v>3</v>
      </c>
      <c r="J831" s="4" t="str" cm="1">
        <f t="array" ref="J831">_xlfn.IFS(K831&gt;=50, "Senior", K831&gt;=30, "Adult", K831&lt;30,"Young Adult")</f>
        <v>Young Adult</v>
      </c>
      <c r="K831" s="4">
        <v>26</v>
      </c>
      <c r="L831" s="4" t="s">
        <v>7</v>
      </c>
      <c r="M831" s="4">
        <v>3</v>
      </c>
      <c r="N831" s="22">
        <v>50</v>
      </c>
      <c r="O831" s="24">
        <f>M831 * N831</f>
        <v>150</v>
      </c>
      <c r="P831" s="16">
        <f>O831 * $S$3</f>
        <v>2.25</v>
      </c>
      <c r="Q831" s="16">
        <f>O831 * $S$4</f>
        <v>3</v>
      </c>
    </row>
    <row r="832" spans="1:17">
      <c r="A832" s="2">
        <v>831</v>
      </c>
      <c r="B832" s="4">
        <f t="shared" si="60"/>
        <v>15</v>
      </c>
      <c r="C832" s="4">
        <f t="shared" si="61"/>
        <v>1</v>
      </c>
      <c r="D832" s="4">
        <f t="shared" si="62"/>
        <v>2023</v>
      </c>
      <c r="E832" s="4" t="str">
        <f t="shared" si="63"/>
        <v>Sun</v>
      </c>
      <c r="F832" s="4" t="str">
        <f t="shared" si="64"/>
        <v>Jan</v>
      </c>
      <c r="G832" s="3">
        <v>44941</v>
      </c>
      <c r="H832" s="4" t="s">
        <v>920</v>
      </c>
      <c r="I832" s="4" t="s">
        <v>4</v>
      </c>
      <c r="J832" s="4" t="str" cm="1">
        <f t="array" ref="J832">_xlfn.IFS(K832&gt;=50, "Senior", K832&gt;=30, "Adult", K832&lt;30,"Young Adult")</f>
        <v>Young Adult</v>
      </c>
      <c r="K832" s="4">
        <v>26</v>
      </c>
      <c r="L832" s="4" t="s">
        <v>8</v>
      </c>
      <c r="M832" s="4">
        <v>4</v>
      </c>
      <c r="N832" s="22">
        <v>25</v>
      </c>
      <c r="O832" s="24">
        <f>M832 * N832</f>
        <v>100</v>
      </c>
      <c r="P832" s="16">
        <f>O832 * $S$3</f>
        <v>1.5</v>
      </c>
      <c r="Q832" s="16">
        <f>O832 * $S$4</f>
        <v>2</v>
      </c>
    </row>
    <row r="833" spans="1:17">
      <c r="A833" s="2">
        <v>832</v>
      </c>
      <c r="B833" s="4">
        <f t="shared" si="60"/>
        <v>11</v>
      </c>
      <c r="C833" s="4">
        <f t="shared" si="61"/>
        <v>9</v>
      </c>
      <c r="D833" s="4">
        <f t="shared" si="62"/>
        <v>2023</v>
      </c>
      <c r="E833" s="4" t="str">
        <f t="shared" si="63"/>
        <v>Mon</v>
      </c>
      <c r="F833" s="4" t="str">
        <f t="shared" si="64"/>
        <v>Sep</v>
      </c>
      <c r="G833" s="3">
        <v>45180</v>
      </c>
      <c r="H833" s="4" t="s">
        <v>61</v>
      </c>
      <c r="I833" s="4" t="s">
        <v>4</v>
      </c>
      <c r="J833" s="4" t="str" cm="1">
        <f t="array" ref="J833">_xlfn.IFS(K833&gt;=50, "Senior", K833&gt;=30, "Adult", K833&lt;30,"Young Adult")</f>
        <v>Young Adult</v>
      </c>
      <c r="K833" s="4">
        <v>25</v>
      </c>
      <c r="L833" s="4" t="s">
        <v>6</v>
      </c>
      <c r="M833" s="4">
        <v>4</v>
      </c>
      <c r="N833" s="22">
        <v>500</v>
      </c>
      <c r="O833" s="24">
        <f>M833 * N833</f>
        <v>2000</v>
      </c>
      <c r="P833" s="16">
        <f>O833 * $S$3</f>
        <v>30</v>
      </c>
      <c r="Q833" s="16">
        <f>O833 * $S$4</f>
        <v>40</v>
      </c>
    </row>
    <row r="834" spans="1:17">
      <c r="A834" s="2">
        <v>833</v>
      </c>
      <c r="B834" s="4">
        <f t="shared" si="60"/>
        <v>16</v>
      </c>
      <c r="C834" s="4">
        <f t="shared" si="61"/>
        <v>6</v>
      </c>
      <c r="D834" s="4">
        <f t="shared" si="62"/>
        <v>2023</v>
      </c>
      <c r="E834" s="4" t="str">
        <f t="shared" si="63"/>
        <v>Fri</v>
      </c>
      <c r="F834" s="4" t="str">
        <f t="shared" si="64"/>
        <v>Jun</v>
      </c>
      <c r="G834" s="3">
        <v>45093</v>
      </c>
      <c r="H834" s="4" t="s">
        <v>60</v>
      </c>
      <c r="I834" s="4" t="s">
        <v>4</v>
      </c>
      <c r="J834" s="4" t="str" cm="1">
        <f t="array" ref="J834">_xlfn.IFS(K834&gt;=50, "Senior", K834&gt;=30, "Adult", K834&lt;30,"Young Adult")</f>
        <v>Young Adult</v>
      </c>
      <c r="K834" s="4">
        <v>25</v>
      </c>
      <c r="L834" s="4" t="s">
        <v>6</v>
      </c>
      <c r="M834" s="4">
        <v>4</v>
      </c>
      <c r="N834" s="22">
        <v>50</v>
      </c>
      <c r="O834" s="24">
        <f>M834 * N834</f>
        <v>200</v>
      </c>
      <c r="P834" s="16">
        <f>O834 * $S$3</f>
        <v>3</v>
      </c>
      <c r="Q834" s="16">
        <f>O834 * $S$4</f>
        <v>4</v>
      </c>
    </row>
    <row r="835" spans="1:17">
      <c r="A835" s="2">
        <v>834</v>
      </c>
      <c r="B835" s="4">
        <f t="shared" ref="B835:B898" si="65">DAY(G835)</f>
        <v>4</v>
      </c>
      <c r="C835" s="4">
        <f t="shared" ref="C835:C898" si="66">MONTH(G835)</f>
        <v>4</v>
      </c>
      <c r="D835" s="4">
        <f t="shared" ref="D835:D898" si="67">YEAR(G835)</f>
        <v>2023</v>
      </c>
      <c r="E835" s="4" t="str">
        <f t="shared" ref="E835:E898" si="68">TEXT(G835,"DDD")</f>
        <v>Tue</v>
      </c>
      <c r="F835" s="4" t="str">
        <f t="shared" ref="F835:F898" si="69">TEXT(G835,"MMM")</f>
        <v>Apr</v>
      </c>
      <c r="G835" s="3">
        <v>45020</v>
      </c>
      <c r="H835" s="4" t="s">
        <v>921</v>
      </c>
      <c r="I835" s="4" t="s">
        <v>3</v>
      </c>
      <c r="J835" s="4" t="str" cm="1">
        <f t="array" ref="J835">_xlfn.IFS(K835&gt;=50, "Senior", K835&gt;=30, "Adult", K835&lt;30,"Young Adult")</f>
        <v>Young Adult</v>
      </c>
      <c r="K835" s="4">
        <v>25</v>
      </c>
      <c r="L835" s="4" t="s">
        <v>6</v>
      </c>
      <c r="M835" s="4">
        <v>2</v>
      </c>
      <c r="N835" s="22">
        <v>30</v>
      </c>
      <c r="O835" s="24">
        <f>M835 * N835</f>
        <v>60</v>
      </c>
      <c r="P835" s="16">
        <f>O835 * $S$3</f>
        <v>0.89999999999999991</v>
      </c>
      <c r="Q835" s="16">
        <f>O835 * $S$4</f>
        <v>1.2</v>
      </c>
    </row>
    <row r="836" spans="1:17">
      <c r="A836" s="2">
        <v>835</v>
      </c>
      <c r="B836" s="4">
        <f t="shared" si="65"/>
        <v>7</v>
      </c>
      <c r="C836" s="4">
        <f t="shared" si="66"/>
        <v>9</v>
      </c>
      <c r="D836" s="4">
        <f t="shared" si="67"/>
        <v>2023</v>
      </c>
      <c r="E836" s="4" t="str">
        <f t="shared" si="68"/>
        <v>Thu</v>
      </c>
      <c r="F836" s="4" t="str">
        <f t="shared" si="69"/>
        <v>Sep</v>
      </c>
      <c r="G836" s="3">
        <v>45176</v>
      </c>
      <c r="H836" s="4" t="s">
        <v>199</v>
      </c>
      <c r="I836" s="4" t="s">
        <v>4</v>
      </c>
      <c r="J836" s="4" t="str" cm="1">
        <f t="array" ref="J836">_xlfn.IFS(K836&gt;=50, "Senior", K836&gt;=30, "Adult", K836&lt;30,"Young Adult")</f>
        <v>Young Adult</v>
      </c>
      <c r="K836" s="4">
        <v>25</v>
      </c>
      <c r="L836" s="4" t="s">
        <v>7</v>
      </c>
      <c r="M836" s="4">
        <v>4</v>
      </c>
      <c r="N836" s="22">
        <v>50</v>
      </c>
      <c r="O836" s="24">
        <f>M836 * N836</f>
        <v>200</v>
      </c>
      <c r="P836" s="16">
        <f>O836 * $S$3</f>
        <v>3</v>
      </c>
      <c r="Q836" s="16">
        <f>O836 * $S$4</f>
        <v>4</v>
      </c>
    </row>
    <row r="837" spans="1:17">
      <c r="A837" s="2">
        <v>836</v>
      </c>
      <c r="B837" s="4">
        <f t="shared" si="65"/>
        <v>19</v>
      </c>
      <c r="C837" s="4">
        <f t="shared" si="66"/>
        <v>4</v>
      </c>
      <c r="D837" s="4">
        <f t="shared" si="67"/>
        <v>2023</v>
      </c>
      <c r="E837" s="4" t="str">
        <f t="shared" si="68"/>
        <v>Wed</v>
      </c>
      <c r="F837" s="4" t="str">
        <f t="shared" si="69"/>
        <v>Apr</v>
      </c>
      <c r="G837" s="3">
        <v>45035</v>
      </c>
      <c r="H837" s="4" t="s">
        <v>922</v>
      </c>
      <c r="I837" s="4" t="s">
        <v>3</v>
      </c>
      <c r="J837" s="4" t="str" cm="1">
        <f t="array" ref="J837">_xlfn.IFS(K837&gt;=50, "Senior", K837&gt;=30, "Adult", K837&lt;30,"Young Adult")</f>
        <v>Young Adult</v>
      </c>
      <c r="K837" s="4">
        <v>25</v>
      </c>
      <c r="L837" s="4" t="s">
        <v>7</v>
      </c>
      <c r="M837" s="4">
        <v>1</v>
      </c>
      <c r="N837" s="22">
        <v>50</v>
      </c>
      <c r="O837" s="24">
        <f>M837 * N837</f>
        <v>50</v>
      </c>
      <c r="P837" s="16">
        <f>O837 * $S$3</f>
        <v>0.75</v>
      </c>
      <c r="Q837" s="16">
        <f>O837 * $S$4</f>
        <v>1</v>
      </c>
    </row>
    <row r="838" spans="1:17">
      <c r="A838" s="2">
        <v>837</v>
      </c>
      <c r="B838" s="4">
        <f t="shared" si="65"/>
        <v>1</v>
      </c>
      <c r="C838" s="4">
        <f t="shared" si="66"/>
        <v>7</v>
      </c>
      <c r="D838" s="4">
        <f t="shared" si="67"/>
        <v>2023</v>
      </c>
      <c r="E838" s="4" t="str">
        <f t="shared" si="68"/>
        <v>Sat</v>
      </c>
      <c r="F838" s="4" t="str">
        <f t="shared" si="69"/>
        <v>Jul</v>
      </c>
      <c r="G838" s="3">
        <v>45108</v>
      </c>
      <c r="H838" s="4" t="s">
        <v>923</v>
      </c>
      <c r="I838" s="4" t="s">
        <v>4</v>
      </c>
      <c r="J838" s="4" t="str" cm="1">
        <f t="array" ref="J838">_xlfn.IFS(K838&gt;=50, "Senior", K838&gt;=30, "Adult", K838&lt;30,"Young Adult")</f>
        <v>Young Adult</v>
      </c>
      <c r="K838" s="4">
        <v>25</v>
      </c>
      <c r="L838" s="4" t="s">
        <v>6</v>
      </c>
      <c r="M838" s="4">
        <v>3</v>
      </c>
      <c r="N838" s="22">
        <v>30</v>
      </c>
      <c r="O838" s="24">
        <f>M838 * N838</f>
        <v>90</v>
      </c>
      <c r="P838" s="16">
        <f>O838 * $S$3</f>
        <v>1.3499999999999999</v>
      </c>
      <c r="Q838" s="16">
        <f>O838 * $S$4</f>
        <v>1.8</v>
      </c>
    </row>
    <row r="839" spans="1:17">
      <c r="A839" s="2">
        <v>838</v>
      </c>
      <c r="B839" s="4">
        <f t="shared" si="65"/>
        <v>13</v>
      </c>
      <c r="C839" s="4">
        <f t="shared" si="66"/>
        <v>5</v>
      </c>
      <c r="D839" s="4">
        <f t="shared" si="67"/>
        <v>2023</v>
      </c>
      <c r="E839" s="4" t="str">
        <f t="shared" si="68"/>
        <v>Sat</v>
      </c>
      <c r="F839" s="4" t="str">
        <f t="shared" si="69"/>
        <v>May</v>
      </c>
      <c r="G839" s="3">
        <v>45059</v>
      </c>
      <c r="H839" s="4" t="s">
        <v>924</v>
      </c>
      <c r="I839" s="4" t="s">
        <v>4</v>
      </c>
      <c r="J839" s="4" t="str" cm="1">
        <f t="array" ref="J839">_xlfn.IFS(K839&gt;=50, "Senior", K839&gt;=30, "Adult", K839&lt;30,"Young Adult")</f>
        <v>Young Adult</v>
      </c>
      <c r="K839" s="4">
        <v>25</v>
      </c>
      <c r="L839" s="4" t="s">
        <v>8</v>
      </c>
      <c r="M839" s="4">
        <v>2</v>
      </c>
      <c r="N839" s="22">
        <v>300</v>
      </c>
      <c r="O839" s="24">
        <f>M839 * N839</f>
        <v>600</v>
      </c>
      <c r="P839" s="16">
        <f>O839 * $S$3</f>
        <v>9</v>
      </c>
      <c r="Q839" s="16">
        <f>O839 * $S$4</f>
        <v>12</v>
      </c>
    </row>
    <row r="840" spans="1:17">
      <c r="A840" s="2">
        <v>839</v>
      </c>
      <c r="B840" s="4">
        <f t="shared" si="65"/>
        <v>24</v>
      </c>
      <c r="C840" s="4">
        <f t="shared" si="66"/>
        <v>6</v>
      </c>
      <c r="D840" s="4">
        <f t="shared" si="67"/>
        <v>2023</v>
      </c>
      <c r="E840" s="4" t="str">
        <f t="shared" si="68"/>
        <v>Sat</v>
      </c>
      <c r="F840" s="4" t="str">
        <f t="shared" si="69"/>
        <v>Jun</v>
      </c>
      <c r="G840" s="3">
        <v>45101</v>
      </c>
      <c r="H840" s="4" t="s">
        <v>925</v>
      </c>
      <c r="I840" s="4" t="s">
        <v>3</v>
      </c>
      <c r="J840" s="4" t="str" cm="1">
        <f t="array" ref="J840">_xlfn.IFS(K840&gt;=50, "Senior", K840&gt;=30, "Adult", K840&lt;30,"Young Adult")</f>
        <v>Young Adult</v>
      </c>
      <c r="K840" s="4">
        <v>25</v>
      </c>
      <c r="L840" s="4" t="s">
        <v>8</v>
      </c>
      <c r="M840" s="4">
        <v>4</v>
      </c>
      <c r="N840" s="22">
        <v>300</v>
      </c>
      <c r="O840" s="24">
        <f>M840 * N840</f>
        <v>1200</v>
      </c>
      <c r="P840" s="16">
        <f>O840 * $S$3</f>
        <v>18</v>
      </c>
      <c r="Q840" s="16">
        <f>O840 * $S$4</f>
        <v>24</v>
      </c>
    </row>
    <row r="841" spans="1:17">
      <c r="A841" s="2">
        <v>840</v>
      </c>
      <c r="B841" s="4">
        <f t="shared" si="65"/>
        <v>24</v>
      </c>
      <c r="C841" s="4">
        <f t="shared" si="66"/>
        <v>5</v>
      </c>
      <c r="D841" s="4">
        <f t="shared" si="67"/>
        <v>2023</v>
      </c>
      <c r="E841" s="4" t="str">
        <f t="shared" si="68"/>
        <v>Wed</v>
      </c>
      <c r="F841" s="4" t="str">
        <f t="shared" si="69"/>
        <v>May</v>
      </c>
      <c r="G841" s="3">
        <v>45070</v>
      </c>
      <c r="H841" s="4" t="s">
        <v>926</v>
      </c>
      <c r="I841" s="4" t="s">
        <v>4</v>
      </c>
      <c r="J841" s="4" t="str" cm="1">
        <f t="array" ref="J841">_xlfn.IFS(K841&gt;=50, "Senior", K841&gt;=30, "Adult", K841&lt;30,"Young Adult")</f>
        <v>Young Adult</v>
      </c>
      <c r="K841" s="4">
        <v>25</v>
      </c>
      <c r="L841" s="4" t="s">
        <v>7</v>
      </c>
      <c r="M841" s="4">
        <v>2</v>
      </c>
      <c r="N841" s="22">
        <v>25</v>
      </c>
      <c r="O841" s="24">
        <f>M841 * N841</f>
        <v>50</v>
      </c>
      <c r="P841" s="16">
        <f>O841 * $S$3</f>
        <v>0.75</v>
      </c>
      <c r="Q841" s="16">
        <f>O841 * $S$4</f>
        <v>1</v>
      </c>
    </row>
    <row r="842" spans="1:17">
      <c r="A842" s="2">
        <v>841</v>
      </c>
      <c r="B842" s="4">
        <f t="shared" si="65"/>
        <v>2</v>
      </c>
      <c r="C842" s="4">
        <f t="shared" si="66"/>
        <v>11</v>
      </c>
      <c r="D842" s="4">
        <f t="shared" si="67"/>
        <v>2023</v>
      </c>
      <c r="E842" s="4" t="str">
        <f t="shared" si="68"/>
        <v>Thu</v>
      </c>
      <c r="F842" s="4" t="str">
        <f t="shared" si="69"/>
        <v>Nov</v>
      </c>
      <c r="G842" s="3">
        <v>45232</v>
      </c>
      <c r="H842" s="4" t="s">
        <v>927</v>
      </c>
      <c r="I842" s="4" t="s">
        <v>4</v>
      </c>
      <c r="J842" s="4" t="str" cm="1">
        <f t="array" ref="J842">_xlfn.IFS(K842&gt;=50, "Senior", K842&gt;=30, "Adult", K842&lt;30,"Young Adult")</f>
        <v>Young Adult</v>
      </c>
      <c r="K842" s="4">
        <v>25</v>
      </c>
      <c r="L842" s="4" t="s">
        <v>8</v>
      </c>
      <c r="M842" s="4">
        <v>4</v>
      </c>
      <c r="N842" s="22">
        <v>25</v>
      </c>
      <c r="O842" s="24">
        <f>M842 * N842</f>
        <v>100</v>
      </c>
      <c r="P842" s="16">
        <f>O842 * $S$3</f>
        <v>1.5</v>
      </c>
      <c r="Q842" s="16">
        <f>O842 * $S$4</f>
        <v>2</v>
      </c>
    </row>
    <row r="843" spans="1:17">
      <c r="A843" s="2">
        <v>842</v>
      </c>
      <c r="B843" s="4">
        <f t="shared" si="65"/>
        <v>26</v>
      </c>
      <c r="C843" s="4">
        <f t="shared" si="66"/>
        <v>12</v>
      </c>
      <c r="D843" s="4">
        <f t="shared" si="67"/>
        <v>2023</v>
      </c>
      <c r="E843" s="4" t="str">
        <f t="shared" si="68"/>
        <v>Tue</v>
      </c>
      <c r="F843" s="4" t="str">
        <f t="shared" si="69"/>
        <v>Dec</v>
      </c>
      <c r="G843" s="3">
        <v>45286</v>
      </c>
      <c r="H843" s="4" t="s">
        <v>196</v>
      </c>
      <c r="I843" s="4" t="s">
        <v>3</v>
      </c>
      <c r="J843" s="4" t="str" cm="1">
        <f t="array" ref="J843">_xlfn.IFS(K843&gt;=50, "Senior", K843&gt;=30, "Adult", K843&lt;30,"Young Adult")</f>
        <v>Young Adult</v>
      </c>
      <c r="K843" s="4">
        <v>25</v>
      </c>
      <c r="L843" s="4" t="s">
        <v>7</v>
      </c>
      <c r="M843" s="4">
        <v>2</v>
      </c>
      <c r="N843" s="22">
        <v>300</v>
      </c>
      <c r="O843" s="24">
        <f>M843 * N843</f>
        <v>600</v>
      </c>
      <c r="P843" s="16">
        <f>O843 * $S$3</f>
        <v>9</v>
      </c>
      <c r="Q843" s="16">
        <f>O843 * $S$4</f>
        <v>12</v>
      </c>
    </row>
    <row r="844" spans="1:17">
      <c r="A844" s="2">
        <v>843</v>
      </c>
      <c r="B844" s="4">
        <f t="shared" si="65"/>
        <v>22</v>
      </c>
      <c r="C844" s="4">
        <f t="shared" si="66"/>
        <v>5</v>
      </c>
      <c r="D844" s="4">
        <f t="shared" si="67"/>
        <v>2023</v>
      </c>
      <c r="E844" s="4" t="str">
        <f t="shared" si="68"/>
        <v>Mon</v>
      </c>
      <c r="F844" s="4" t="str">
        <f t="shared" si="69"/>
        <v>May</v>
      </c>
      <c r="G844" s="3">
        <v>45068</v>
      </c>
      <c r="H844" s="4" t="s">
        <v>928</v>
      </c>
      <c r="I844" s="4" t="s">
        <v>4</v>
      </c>
      <c r="J844" s="4" t="str" cm="1">
        <f t="array" ref="J844">_xlfn.IFS(K844&gt;=50, "Senior", K844&gt;=30, "Adult", K844&lt;30,"Young Adult")</f>
        <v>Young Adult</v>
      </c>
      <c r="K844" s="4">
        <v>25</v>
      </c>
      <c r="L844" s="4" t="s">
        <v>6</v>
      </c>
      <c r="M844" s="4">
        <v>3</v>
      </c>
      <c r="N844" s="22">
        <v>500</v>
      </c>
      <c r="O844" s="24">
        <f>M844 * N844</f>
        <v>1500</v>
      </c>
      <c r="P844" s="16">
        <f>O844 * $S$3</f>
        <v>22.5</v>
      </c>
      <c r="Q844" s="16">
        <f>O844 * $S$4</f>
        <v>30</v>
      </c>
    </row>
    <row r="845" spans="1:17">
      <c r="A845" s="2">
        <v>844</v>
      </c>
      <c r="B845" s="4">
        <f t="shared" si="65"/>
        <v>12</v>
      </c>
      <c r="C845" s="4">
        <f t="shared" si="66"/>
        <v>10</v>
      </c>
      <c r="D845" s="4">
        <f t="shared" si="67"/>
        <v>2023</v>
      </c>
      <c r="E845" s="4" t="str">
        <f t="shared" si="68"/>
        <v>Thu</v>
      </c>
      <c r="F845" s="4" t="str">
        <f t="shared" si="69"/>
        <v>Oct</v>
      </c>
      <c r="G845" s="3">
        <v>45211</v>
      </c>
      <c r="H845" s="4" t="s">
        <v>195</v>
      </c>
      <c r="I845" s="4" t="s">
        <v>4</v>
      </c>
      <c r="J845" s="4" t="str" cm="1">
        <f t="array" ref="J845">_xlfn.IFS(K845&gt;=50, "Senior", K845&gt;=30, "Adult", K845&lt;30,"Young Adult")</f>
        <v>Young Adult</v>
      </c>
      <c r="K845" s="4">
        <v>25</v>
      </c>
      <c r="L845" s="4" t="s">
        <v>7</v>
      </c>
      <c r="M845" s="4">
        <v>3</v>
      </c>
      <c r="N845" s="22">
        <v>50</v>
      </c>
      <c r="O845" s="24">
        <f>M845 * N845</f>
        <v>150</v>
      </c>
      <c r="P845" s="16">
        <f>O845 * $S$3</f>
        <v>2.25</v>
      </c>
      <c r="Q845" s="16">
        <f>O845 * $S$4</f>
        <v>3</v>
      </c>
    </row>
    <row r="846" spans="1:17">
      <c r="A846" s="2">
        <v>845</v>
      </c>
      <c r="B846" s="4">
        <f t="shared" si="65"/>
        <v>6</v>
      </c>
      <c r="C846" s="4">
        <f t="shared" si="66"/>
        <v>1</v>
      </c>
      <c r="D846" s="4">
        <f t="shared" si="67"/>
        <v>2023</v>
      </c>
      <c r="E846" s="4" t="str">
        <f t="shared" si="68"/>
        <v>Fri</v>
      </c>
      <c r="F846" s="4" t="str">
        <f t="shared" si="69"/>
        <v>Jan</v>
      </c>
      <c r="G846" s="3">
        <v>44932</v>
      </c>
      <c r="H846" s="4" t="s">
        <v>929</v>
      </c>
      <c r="I846" s="4" t="s">
        <v>4</v>
      </c>
      <c r="J846" s="4" t="str" cm="1">
        <f t="array" ref="J846">_xlfn.IFS(K846&gt;=50, "Senior", K846&gt;=30, "Adult", K846&lt;30,"Young Adult")</f>
        <v>Young Adult</v>
      </c>
      <c r="K846" s="4">
        <v>25</v>
      </c>
      <c r="L846" s="4" t="s">
        <v>7</v>
      </c>
      <c r="M846" s="4">
        <v>1</v>
      </c>
      <c r="N846" s="22">
        <v>500</v>
      </c>
      <c r="O846" s="24">
        <f>M846 * N846</f>
        <v>500</v>
      </c>
      <c r="P846" s="16">
        <f>O846 * $S$3</f>
        <v>7.5</v>
      </c>
      <c r="Q846" s="16">
        <f>O846 * $S$4</f>
        <v>10</v>
      </c>
    </row>
    <row r="847" spans="1:17">
      <c r="A847" s="2">
        <v>846</v>
      </c>
      <c r="B847" s="4">
        <f t="shared" si="65"/>
        <v>22</v>
      </c>
      <c r="C847" s="4">
        <f t="shared" si="66"/>
        <v>9</v>
      </c>
      <c r="D847" s="4">
        <f t="shared" si="67"/>
        <v>2023</v>
      </c>
      <c r="E847" s="4" t="str">
        <f t="shared" si="68"/>
        <v>Fri</v>
      </c>
      <c r="F847" s="4" t="str">
        <f t="shared" si="69"/>
        <v>Sep</v>
      </c>
      <c r="G847" s="3">
        <v>45191</v>
      </c>
      <c r="H847" s="4" t="s">
        <v>58</v>
      </c>
      <c r="I847" s="4" t="s">
        <v>4</v>
      </c>
      <c r="J847" s="4" t="str" cm="1">
        <f t="array" ref="J847">_xlfn.IFS(K847&gt;=50, "Senior", K847&gt;=30, "Adult", K847&lt;30,"Young Adult")</f>
        <v>Young Adult</v>
      </c>
      <c r="K847" s="4">
        <v>25</v>
      </c>
      <c r="L847" s="4" t="s">
        <v>6</v>
      </c>
      <c r="M847" s="4">
        <v>1</v>
      </c>
      <c r="N847" s="22">
        <v>50</v>
      </c>
      <c r="O847" s="24">
        <f>M847 * N847</f>
        <v>50</v>
      </c>
      <c r="P847" s="16">
        <f>O847 * $S$3</f>
        <v>0.75</v>
      </c>
      <c r="Q847" s="16">
        <f>O847 * $S$4</f>
        <v>1</v>
      </c>
    </row>
    <row r="848" spans="1:17">
      <c r="A848" s="2">
        <v>847</v>
      </c>
      <c r="B848" s="4">
        <f t="shared" si="65"/>
        <v>8</v>
      </c>
      <c r="C848" s="4">
        <f t="shared" si="66"/>
        <v>4</v>
      </c>
      <c r="D848" s="4">
        <f t="shared" si="67"/>
        <v>2023</v>
      </c>
      <c r="E848" s="4" t="str">
        <f t="shared" si="68"/>
        <v>Sat</v>
      </c>
      <c r="F848" s="4" t="str">
        <f t="shared" si="69"/>
        <v>Apr</v>
      </c>
      <c r="G848" s="3">
        <v>45024</v>
      </c>
      <c r="H848" s="4" t="s">
        <v>930</v>
      </c>
      <c r="I848" s="4" t="s">
        <v>3</v>
      </c>
      <c r="J848" s="4" t="str" cm="1">
        <f t="array" ref="J848">_xlfn.IFS(K848&gt;=50, "Senior", K848&gt;=30, "Adult", K848&lt;30,"Young Adult")</f>
        <v>Young Adult</v>
      </c>
      <c r="K848" s="4">
        <v>25</v>
      </c>
      <c r="L848" s="4" t="s">
        <v>8</v>
      </c>
      <c r="M848" s="4">
        <v>4</v>
      </c>
      <c r="N848" s="22">
        <v>300</v>
      </c>
      <c r="O848" s="24">
        <f>M848 * N848</f>
        <v>1200</v>
      </c>
      <c r="P848" s="16">
        <f>O848 * $S$3</f>
        <v>18</v>
      </c>
      <c r="Q848" s="16">
        <f>O848 * $S$4</f>
        <v>24</v>
      </c>
    </row>
    <row r="849" spans="1:17">
      <c r="A849" s="2">
        <v>848</v>
      </c>
      <c r="B849" s="4">
        <f t="shared" si="65"/>
        <v>13</v>
      </c>
      <c r="C849" s="4">
        <f t="shared" si="66"/>
        <v>2</v>
      </c>
      <c r="D849" s="4">
        <f t="shared" si="67"/>
        <v>2023</v>
      </c>
      <c r="E849" s="4" t="str">
        <f t="shared" si="68"/>
        <v>Mon</v>
      </c>
      <c r="F849" s="4" t="str">
        <f t="shared" si="69"/>
        <v>Feb</v>
      </c>
      <c r="G849" s="3">
        <v>44970</v>
      </c>
      <c r="H849" s="4" t="s">
        <v>931</v>
      </c>
      <c r="I849" s="4" t="s">
        <v>3</v>
      </c>
      <c r="J849" s="4" t="str" cm="1">
        <f t="array" ref="J849">_xlfn.IFS(K849&gt;=50, "Senior", K849&gt;=30, "Adult", K849&lt;30,"Young Adult")</f>
        <v>Young Adult</v>
      </c>
      <c r="K849" s="4">
        <v>25</v>
      </c>
      <c r="L849" s="4" t="s">
        <v>7</v>
      </c>
      <c r="M849" s="4">
        <v>3</v>
      </c>
      <c r="N849" s="22">
        <v>25</v>
      </c>
      <c r="O849" s="24">
        <f>M849 * N849</f>
        <v>75</v>
      </c>
      <c r="P849" s="16">
        <f>O849 * $S$3</f>
        <v>1.125</v>
      </c>
      <c r="Q849" s="16">
        <f>O849 * $S$4</f>
        <v>1.5</v>
      </c>
    </row>
    <row r="850" spans="1:17">
      <c r="A850" s="2">
        <v>849</v>
      </c>
      <c r="B850" s="4">
        <f t="shared" si="65"/>
        <v>4</v>
      </c>
      <c r="C850" s="4">
        <f t="shared" si="66"/>
        <v>5</v>
      </c>
      <c r="D850" s="4">
        <f t="shared" si="67"/>
        <v>2023</v>
      </c>
      <c r="E850" s="4" t="str">
        <f t="shared" si="68"/>
        <v>Thu</v>
      </c>
      <c r="F850" s="4" t="str">
        <f t="shared" si="69"/>
        <v>May</v>
      </c>
      <c r="G850" s="3">
        <v>45050</v>
      </c>
      <c r="H850" s="4" t="s">
        <v>194</v>
      </c>
      <c r="I850" s="4" t="s">
        <v>4</v>
      </c>
      <c r="J850" s="4" t="str" cm="1">
        <f t="array" ref="J850">_xlfn.IFS(K850&gt;=50, "Senior", K850&gt;=30, "Adult", K850&lt;30,"Young Adult")</f>
        <v>Young Adult</v>
      </c>
      <c r="K850" s="4">
        <v>25</v>
      </c>
      <c r="L850" s="4" t="s">
        <v>7</v>
      </c>
      <c r="M850" s="4">
        <v>2</v>
      </c>
      <c r="N850" s="22">
        <v>25</v>
      </c>
      <c r="O850" s="24">
        <f>M850 * N850</f>
        <v>50</v>
      </c>
      <c r="P850" s="16">
        <f>O850 * $S$3</f>
        <v>0.75</v>
      </c>
      <c r="Q850" s="16">
        <f>O850 * $S$4</f>
        <v>1</v>
      </c>
    </row>
    <row r="851" spans="1:17">
      <c r="A851" s="2">
        <v>850</v>
      </c>
      <c r="B851" s="4">
        <f t="shared" si="65"/>
        <v>28</v>
      </c>
      <c r="C851" s="4">
        <f t="shared" si="66"/>
        <v>7</v>
      </c>
      <c r="D851" s="4">
        <f t="shared" si="67"/>
        <v>2023</v>
      </c>
      <c r="E851" s="4" t="str">
        <f t="shared" si="68"/>
        <v>Fri</v>
      </c>
      <c r="F851" s="4" t="str">
        <f t="shared" si="69"/>
        <v>Jul</v>
      </c>
      <c r="G851" s="3">
        <v>45135</v>
      </c>
      <c r="H851" s="4" t="s">
        <v>932</v>
      </c>
      <c r="I851" s="4" t="s">
        <v>3</v>
      </c>
      <c r="J851" s="4" t="str" cm="1">
        <f t="array" ref="J851">_xlfn.IFS(K851&gt;=50, "Senior", K851&gt;=30, "Adult", K851&lt;30,"Young Adult")</f>
        <v>Young Adult</v>
      </c>
      <c r="K851" s="4">
        <v>25</v>
      </c>
      <c r="L851" s="4" t="s">
        <v>6</v>
      </c>
      <c r="M851" s="4">
        <v>2</v>
      </c>
      <c r="N851" s="22">
        <v>500</v>
      </c>
      <c r="O851" s="24">
        <f>M851 * N851</f>
        <v>1000</v>
      </c>
      <c r="P851" s="16">
        <f>O851 * $S$3</f>
        <v>15</v>
      </c>
      <c r="Q851" s="16">
        <f>O851 * $S$4</f>
        <v>20</v>
      </c>
    </row>
    <row r="852" spans="1:17">
      <c r="A852" s="2">
        <v>851</v>
      </c>
      <c r="B852" s="4">
        <f t="shared" si="65"/>
        <v>8</v>
      </c>
      <c r="C852" s="4">
        <f t="shared" si="66"/>
        <v>9</v>
      </c>
      <c r="D852" s="4">
        <f t="shared" si="67"/>
        <v>2023</v>
      </c>
      <c r="E852" s="4" t="str">
        <f t="shared" si="68"/>
        <v>Fri</v>
      </c>
      <c r="F852" s="4" t="str">
        <f t="shared" si="69"/>
        <v>Sep</v>
      </c>
      <c r="G852" s="3">
        <v>45177</v>
      </c>
      <c r="H852" s="4" t="s">
        <v>933</v>
      </c>
      <c r="I852" s="4" t="s">
        <v>4</v>
      </c>
      <c r="J852" s="4" t="str" cm="1">
        <f t="array" ref="J852">_xlfn.IFS(K852&gt;=50, "Senior", K852&gt;=30, "Adult", K852&lt;30,"Young Adult")</f>
        <v>Young Adult</v>
      </c>
      <c r="K852" s="4">
        <v>25</v>
      </c>
      <c r="L852" s="4" t="s">
        <v>8</v>
      </c>
      <c r="M852" s="4">
        <v>2</v>
      </c>
      <c r="N852" s="22">
        <v>25</v>
      </c>
      <c r="O852" s="24">
        <f>M852 * N852</f>
        <v>50</v>
      </c>
      <c r="P852" s="16">
        <f>O852 * $S$3</f>
        <v>0.75</v>
      </c>
      <c r="Q852" s="16">
        <f>O852 * $S$4</f>
        <v>1</v>
      </c>
    </row>
    <row r="853" spans="1:17">
      <c r="A853" s="2">
        <v>852</v>
      </c>
      <c r="B853" s="4">
        <f t="shared" si="65"/>
        <v>12</v>
      </c>
      <c r="C853" s="4">
        <f t="shared" si="66"/>
        <v>10</v>
      </c>
      <c r="D853" s="4">
        <f t="shared" si="67"/>
        <v>2023</v>
      </c>
      <c r="E853" s="4" t="str">
        <f t="shared" si="68"/>
        <v>Thu</v>
      </c>
      <c r="F853" s="4" t="str">
        <f t="shared" si="69"/>
        <v>Oct</v>
      </c>
      <c r="G853" s="3">
        <v>45211</v>
      </c>
      <c r="H853" s="4" t="s">
        <v>193</v>
      </c>
      <c r="I853" s="4" t="s">
        <v>3</v>
      </c>
      <c r="J853" s="4" t="str" cm="1">
        <f t="array" ref="J853">_xlfn.IFS(K853&gt;=50, "Senior", K853&gt;=30, "Adult", K853&lt;30,"Young Adult")</f>
        <v>Young Adult</v>
      </c>
      <c r="K853" s="4">
        <v>24</v>
      </c>
      <c r="L853" s="4" t="s">
        <v>7</v>
      </c>
      <c r="M853" s="4">
        <v>1</v>
      </c>
      <c r="N853" s="22">
        <v>300</v>
      </c>
      <c r="O853" s="24">
        <f>M853 * N853</f>
        <v>300</v>
      </c>
      <c r="P853" s="16">
        <f>O853 * $S$3</f>
        <v>4.5</v>
      </c>
      <c r="Q853" s="16">
        <f>O853 * $S$4</f>
        <v>6</v>
      </c>
    </row>
    <row r="854" spans="1:17">
      <c r="A854" s="2">
        <v>853</v>
      </c>
      <c r="B854" s="4">
        <f t="shared" si="65"/>
        <v>4</v>
      </c>
      <c r="C854" s="4">
        <f t="shared" si="66"/>
        <v>5</v>
      </c>
      <c r="D854" s="4">
        <f t="shared" si="67"/>
        <v>2023</v>
      </c>
      <c r="E854" s="4" t="str">
        <f t="shared" si="68"/>
        <v>Thu</v>
      </c>
      <c r="F854" s="4" t="str">
        <f t="shared" si="69"/>
        <v>May</v>
      </c>
      <c r="G854" s="3">
        <v>45050</v>
      </c>
      <c r="H854" s="4" t="s">
        <v>934</v>
      </c>
      <c r="I854" s="4" t="s">
        <v>4</v>
      </c>
      <c r="J854" s="4" t="str" cm="1">
        <f t="array" ref="J854">_xlfn.IFS(K854&gt;=50, "Senior", K854&gt;=30, "Adult", K854&lt;30,"Young Adult")</f>
        <v>Young Adult</v>
      </c>
      <c r="K854" s="4">
        <v>24</v>
      </c>
      <c r="L854" s="4" t="s">
        <v>6</v>
      </c>
      <c r="M854" s="4">
        <v>2</v>
      </c>
      <c r="N854" s="22">
        <v>500</v>
      </c>
      <c r="O854" s="24">
        <f>M854 * N854</f>
        <v>1000</v>
      </c>
      <c r="P854" s="16">
        <f>O854 * $S$3</f>
        <v>15</v>
      </c>
      <c r="Q854" s="16">
        <f>O854 * $S$4</f>
        <v>20</v>
      </c>
    </row>
    <row r="855" spans="1:17">
      <c r="A855" s="2">
        <v>854</v>
      </c>
      <c r="B855" s="4">
        <f t="shared" si="65"/>
        <v>20</v>
      </c>
      <c r="C855" s="4">
        <f t="shared" si="66"/>
        <v>12</v>
      </c>
      <c r="D855" s="4">
        <f t="shared" si="67"/>
        <v>2023</v>
      </c>
      <c r="E855" s="4" t="str">
        <f t="shared" si="68"/>
        <v>Wed</v>
      </c>
      <c r="F855" s="4" t="str">
        <f t="shared" si="69"/>
        <v>Dec</v>
      </c>
      <c r="G855" s="3">
        <v>45280</v>
      </c>
      <c r="H855" s="4" t="s">
        <v>935</v>
      </c>
      <c r="I855" s="4" t="s">
        <v>4</v>
      </c>
      <c r="J855" s="4" t="str" cm="1">
        <f t="array" ref="J855">_xlfn.IFS(K855&gt;=50, "Senior", K855&gt;=30, "Adult", K855&lt;30,"Young Adult")</f>
        <v>Young Adult</v>
      </c>
      <c r="K855" s="4">
        <v>24</v>
      </c>
      <c r="L855" s="4" t="s">
        <v>7</v>
      </c>
      <c r="M855" s="4">
        <v>1</v>
      </c>
      <c r="N855" s="22">
        <v>50</v>
      </c>
      <c r="O855" s="24">
        <f>M855 * N855</f>
        <v>50</v>
      </c>
      <c r="P855" s="16">
        <f>O855 * $S$3</f>
        <v>0.75</v>
      </c>
      <c r="Q855" s="16">
        <f>O855 * $S$4</f>
        <v>1</v>
      </c>
    </row>
    <row r="856" spans="1:17">
      <c r="A856" s="2">
        <v>855</v>
      </c>
      <c r="B856" s="4">
        <f t="shared" si="65"/>
        <v>1</v>
      </c>
      <c r="C856" s="4">
        <f t="shared" si="66"/>
        <v>9</v>
      </c>
      <c r="D856" s="4">
        <f t="shared" si="67"/>
        <v>2023</v>
      </c>
      <c r="E856" s="4" t="str">
        <f t="shared" si="68"/>
        <v>Fri</v>
      </c>
      <c r="F856" s="4" t="str">
        <f t="shared" si="69"/>
        <v>Sep</v>
      </c>
      <c r="G856" s="3">
        <v>45170</v>
      </c>
      <c r="H856" s="4" t="s">
        <v>936</v>
      </c>
      <c r="I856" s="4" t="s">
        <v>4</v>
      </c>
      <c r="J856" s="4" t="str" cm="1">
        <f t="array" ref="J856">_xlfn.IFS(K856&gt;=50, "Senior", K856&gt;=30, "Adult", K856&lt;30,"Young Adult")</f>
        <v>Young Adult</v>
      </c>
      <c r="K856" s="4">
        <v>24</v>
      </c>
      <c r="L856" s="4" t="s">
        <v>6</v>
      </c>
      <c r="M856" s="4">
        <v>1</v>
      </c>
      <c r="N856" s="22">
        <v>25</v>
      </c>
      <c r="O856" s="24">
        <f>M856 * N856</f>
        <v>25</v>
      </c>
      <c r="P856" s="16">
        <f>O856 * $S$3</f>
        <v>0.375</v>
      </c>
      <c r="Q856" s="16">
        <f>O856 * $S$4</f>
        <v>0.5</v>
      </c>
    </row>
    <row r="857" spans="1:17">
      <c r="A857" s="2">
        <v>856</v>
      </c>
      <c r="B857" s="4">
        <f t="shared" si="65"/>
        <v>27</v>
      </c>
      <c r="C857" s="4">
        <f t="shared" si="66"/>
        <v>11</v>
      </c>
      <c r="D857" s="4">
        <f t="shared" si="67"/>
        <v>2023</v>
      </c>
      <c r="E857" s="4" t="str">
        <f t="shared" si="68"/>
        <v>Mon</v>
      </c>
      <c r="F857" s="4" t="str">
        <f t="shared" si="69"/>
        <v>Nov</v>
      </c>
      <c r="G857" s="3">
        <v>45257</v>
      </c>
      <c r="H857" s="4" t="s">
        <v>937</v>
      </c>
      <c r="I857" s="4" t="s">
        <v>4</v>
      </c>
      <c r="J857" s="4" t="str" cm="1">
        <f t="array" ref="J857">_xlfn.IFS(K857&gt;=50, "Senior", K857&gt;=30, "Adult", K857&lt;30,"Young Adult")</f>
        <v>Young Adult</v>
      </c>
      <c r="K857" s="4">
        <v>24</v>
      </c>
      <c r="L857" s="4" t="s">
        <v>8</v>
      </c>
      <c r="M857" s="4">
        <v>4</v>
      </c>
      <c r="N857" s="22">
        <v>30</v>
      </c>
      <c r="O857" s="24">
        <f>M857 * N857</f>
        <v>120</v>
      </c>
      <c r="P857" s="16">
        <f>O857 * $S$3</f>
        <v>1.7999999999999998</v>
      </c>
      <c r="Q857" s="16">
        <f>O857 * $S$4</f>
        <v>2.4</v>
      </c>
    </row>
    <row r="858" spans="1:17">
      <c r="A858" s="2">
        <v>857</v>
      </c>
      <c r="B858" s="4">
        <f t="shared" si="65"/>
        <v>31</v>
      </c>
      <c r="C858" s="4">
        <f t="shared" si="66"/>
        <v>12</v>
      </c>
      <c r="D858" s="4">
        <f t="shared" si="67"/>
        <v>2023</v>
      </c>
      <c r="E858" s="4" t="str">
        <f t="shared" si="68"/>
        <v>Sun</v>
      </c>
      <c r="F858" s="4" t="str">
        <f t="shared" si="69"/>
        <v>Dec</v>
      </c>
      <c r="G858" s="3">
        <v>45291</v>
      </c>
      <c r="H858" s="4" t="s">
        <v>938</v>
      </c>
      <c r="I858" s="4" t="s">
        <v>4</v>
      </c>
      <c r="J858" s="4" t="str" cm="1">
        <f t="array" ref="J858">_xlfn.IFS(K858&gt;=50, "Senior", K858&gt;=30, "Adult", K858&lt;30,"Young Adult")</f>
        <v>Young Adult</v>
      </c>
      <c r="K858" s="4">
        <v>24</v>
      </c>
      <c r="L858" s="4" t="s">
        <v>8</v>
      </c>
      <c r="M858" s="4">
        <v>2</v>
      </c>
      <c r="N858" s="22">
        <v>25</v>
      </c>
      <c r="O858" s="24">
        <f>M858 * N858</f>
        <v>50</v>
      </c>
      <c r="P858" s="16">
        <f>O858 * $S$3</f>
        <v>0.75</v>
      </c>
      <c r="Q858" s="16">
        <f>O858 * $S$4</f>
        <v>1</v>
      </c>
    </row>
    <row r="859" spans="1:17">
      <c r="A859" s="2">
        <v>858</v>
      </c>
      <c r="B859" s="4">
        <f t="shared" si="65"/>
        <v>9</v>
      </c>
      <c r="C859" s="4">
        <f t="shared" si="66"/>
        <v>9</v>
      </c>
      <c r="D859" s="4">
        <f t="shared" si="67"/>
        <v>2023</v>
      </c>
      <c r="E859" s="4" t="str">
        <f t="shared" si="68"/>
        <v>Sat</v>
      </c>
      <c r="F859" s="4" t="str">
        <f t="shared" si="69"/>
        <v>Sep</v>
      </c>
      <c r="G859" s="3">
        <v>45178</v>
      </c>
      <c r="H859" s="4" t="s">
        <v>939</v>
      </c>
      <c r="I859" s="4" t="s">
        <v>4</v>
      </c>
      <c r="J859" s="4" t="str" cm="1">
        <f t="array" ref="J859">_xlfn.IFS(K859&gt;=50, "Senior", K859&gt;=30, "Adult", K859&lt;30,"Young Adult")</f>
        <v>Young Adult</v>
      </c>
      <c r="K859" s="4">
        <v>24</v>
      </c>
      <c r="L859" s="4" t="s">
        <v>8</v>
      </c>
      <c r="M859" s="4">
        <v>2</v>
      </c>
      <c r="N859" s="22">
        <v>50</v>
      </c>
      <c r="O859" s="24">
        <f>M859 * N859</f>
        <v>100</v>
      </c>
      <c r="P859" s="16">
        <f>O859 * $S$3</f>
        <v>1.5</v>
      </c>
      <c r="Q859" s="16">
        <f>O859 * $S$4</f>
        <v>2</v>
      </c>
    </row>
    <row r="860" spans="1:17">
      <c r="A860" s="2">
        <v>859</v>
      </c>
      <c r="B860" s="4">
        <f t="shared" si="65"/>
        <v>18</v>
      </c>
      <c r="C860" s="4">
        <f t="shared" si="66"/>
        <v>8</v>
      </c>
      <c r="D860" s="4">
        <f t="shared" si="67"/>
        <v>2023</v>
      </c>
      <c r="E860" s="4" t="str">
        <f t="shared" si="68"/>
        <v>Fri</v>
      </c>
      <c r="F860" s="4" t="str">
        <f t="shared" si="69"/>
        <v>Aug</v>
      </c>
      <c r="G860" s="3">
        <v>45156</v>
      </c>
      <c r="H860" s="4" t="s">
        <v>940</v>
      </c>
      <c r="I860" s="4" t="s">
        <v>3</v>
      </c>
      <c r="J860" s="4" t="str" cm="1">
        <f t="array" ref="J860">_xlfn.IFS(K860&gt;=50, "Senior", K860&gt;=30, "Adult", K860&lt;30,"Young Adult")</f>
        <v>Young Adult</v>
      </c>
      <c r="K860" s="4">
        <v>24</v>
      </c>
      <c r="L860" s="4" t="s">
        <v>8</v>
      </c>
      <c r="M860" s="4">
        <v>3</v>
      </c>
      <c r="N860" s="22">
        <v>500</v>
      </c>
      <c r="O860" s="24">
        <f>M860 * N860</f>
        <v>1500</v>
      </c>
      <c r="P860" s="16">
        <f>O860 * $S$3</f>
        <v>22.5</v>
      </c>
      <c r="Q860" s="16">
        <f>O860 * $S$4</f>
        <v>30</v>
      </c>
    </row>
    <row r="861" spans="1:17">
      <c r="A861" s="2">
        <v>860</v>
      </c>
      <c r="B861" s="4">
        <f t="shared" si="65"/>
        <v>9</v>
      </c>
      <c r="C861" s="4">
        <f t="shared" si="66"/>
        <v>1</v>
      </c>
      <c r="D861" s="4">
        <f t="shared" si="67"/>
        <v>2023</v>
      </c>
      <c r="E861" s="4" t="str">
        <f t="shared" si="68"/>
        <v>Mon</v>
      </c>
      <c r="F861" s="4" t="str">
        <f t="shared" si="69"/>
        <v>Jan</v>
      </c>
      <c r="G861" s="3">
        <v>44935</v>
      </c>
      <c r="H861" s="4" t="s">
        <v>941</v>
      </c>
      <c r="I861" s="4" t="s">
        <v>4</v>
      </c>
      <c r="J861" s="4" t="str" cm="1">
        <f t="array" ref="J861">_xlfn.IFS(K861&gt;=50, "Senior", K861&gt;=30, "Adult", K861&lt;30,"Young Adult")</f>
        <v>Young Adult</v>
      </c>
      <c r="K861" s="4">
        <v>24</v>
      </c>
      <c r="L861" s="4" t="s">
        <v>7</v>
      </c>
      <c r="M861" s="4">
        <v>4</v>
      </c>
      <c r="N861" s="22">
        <v>50</v>
      </c>
      <c r="O861" s="24">
        <f>M861 * N861</f>
        <v>200</v>
      </c>
      <c r="P861" s="16">
        <f>O861 * $S$3</f>
        <v>3</v>
      </c>
      <c r="Q861" s="16">
        <f>O861 * $S$4</f>
        <v>4</v>
      </c>
    </row>
    <row r="862" spans="1:17">
      <c r="A862" s="2">
        <v>861</v>
      </c>
      <c r="B862" s="4">
        <f t="shared" si="65"/>
        <v>17</v>
      </c>
      <c r="C862" s="4">
        <f t="shared" si="66"/>
        <v>2</v>
      </c>
      <c r="D862" s="4">
        <f t="shared" si="67"/>
        <v>2023</v>
      </c>
      <c r="E862" s="4" t="str">
        <f t="shared" si="68"/>
        <v>Fri</v>
      </c>
      <c r="F862" s="4" t="str">
        <f t="shared" si="69"/>
        <v>Feb</v>
      </c>
      <c r="G862" s="3">
        <v>44974</v>
      </c>
      <c r="H862" s="4" t="s">
        <v>192</v>
      </c>
      <c r="I862" s="4" t="s">
        <v>3</v>
      </c>
      <c r="J862" s="4" t="str" cm="1">
        <f t="array" ref="J862">_xlfn.IFS(K862&gt;=50, "Senior", K862&gt;=30, "Adult", K862&lt;30,"Young Adult")</f>
        <v>Young Adult</v>
      </c>
      <c r="K862" s="4">
        <v>24</v>
      </c>
      <c r="L862" s="4" t="s">
        <v>7</v>
      </c>
      <c r="M862" s="4">
        <v>3</v>
      </c>
      <c r="N862" s="22">
        <v>30</v>
      </c>
      <c r="O862" s="24">
        <f>M862 * N862</f>
        <v>90</v>
      </c>
      <c r="P862" s="16">
        <f>O862 * $S$3</f>
        <v>1.3499999999999999</v>
      </c>
      <c r="Q862" s="16">
        <f>O862 * $S$4</f>
        <v>1.8</v>
      </c>
    </row>
    <row r="863" spans="1:17">
      <c r="A863" s="2">
        <v>862</v>
      </c>
      <c r="B863" s="4">
        <f t="shared" si="65"/>
        <v>31</v>
      </c>
      <c r="C863" s="4">
        <f t="shared" si="66"/>
        <v>5</v>
      </c>
      <c r="D863" s="4">
        <f t="shared" si="67"/>
        <v>2023</v>
      </c>
      <c r="E863" s="4" t="str">
        <f t="shared" si="68"/>
        <v>Wed</v>
      </c>
      <c r="F863" s="4" t="str">
        <f t="shared" si="69"/>
        <v>May</v>
      </c>
      <c r="G863" s="3">
        <v>45077</v>
      </c>
      <c r="H863" s="4" t="s">
        <v>942</v>
      </c>
      <c r="I863" s="4" t="s">
        <v>4</v>
      </c>
      <c r="J863" s="4" t="str" cm="1">
        <f t="array" ref="J863">_xlfn.IFS(K863&gt;=50, "Senior", K863&gt;=30, "Adult", K863&lt;30,"Young Adult")</f>
        <v>Young Adult</v>
      </c>
      <c r="K863" s="4">
        <v>24</v>
      </c>
      <c r="L863" s="4" t="s">
        <v>8</v>
      </c>
      <c r="M863" s="4">
        <v>4</v>
      </c>
      <c r="N863" s="22">
        <v>300</v>
      </c>
      <c r="O863" s="24">
        <f>M863 * N863</f>
        <v>1200</v>
      </c>
      <c r="P863" s="16">
        <f>O863 * $S$3</f>
        <v>18</v>
      </c>
      <c r="Q863" s="16">
        <f>O863 * $S$4</f>
        <v>24</v>
      </c>
    </row>
    <row r="864" spans="1:17">
      <c r="A864" s="2">
        <v>863</v>
      </c>
      <c r="B864" s="4">
        <f t="shared" si="65"/>
        <v>24</v>
      </c>
      <c r="C864" s="4">
        <f t="shared" si="66"/>
        <v>4</v>
      </c>
      <c r="D864" s="4">
        <f t="shared" si="67"/>
        <v>2023</v>
      </c>
      <c r="E864" s="4" t="str">
        <f t="shared" si="68"/>
        <v>Mon</v>
      </c>
      <c r="F864" s="4" t="str">
        <f t="shared" si="69"/>
        <v>Apr</v>
      </c>
      <c r="G864" s="3">
        <v>45040</v>
      </c>
      <c r="H864" s="4" t="s">
        <v>943</v>
      </c>
      <c r="I864" s="4" t="s">
        <v>3</v>
      </c>
      <c r="J864" s="4" t="str" cm="1">
        <f t="array" ref="J864">_xlfn.IFS(K864&gt;=50, "Senior", K864&gt;=30, "Adult", K864&lt;30,"Young Adult")</f>
        <v>Young Adult</v>
      </c>
      <c r="K864" s="4">
        <v>24</v>
      </c>
      <c r="L864" s="4" t="s">
        <v>8</v>
      </c>
      <c r="M864" s="4">
        <v>2</v>
      </c>
      <c r="N864" s="22">
        <v>25</v>
      </c>
      <c r="O864" s="24">
        <f>M864 * N864</f>
        <v>50</v>
      </c>
      <c r="P864" s="16">
        <f>O864 * $S$3</f>
        <v>0.75</v>
      </c>
      <c r="Q864" s="16">
        <f>O864 * $S$4</f>
        <v>1</v>
      </c>
    </row>
    <row r="865" spans="1:17">
      <c r="A865" s="2">
        <v>864</v>
      </c>
      <c r="B865" s="4">
        <f t="shared" si="65"/>
        <v>27</v>
      </c>
      <c r="C865" s="4">
        <f t="shared" si="66"/>
        <v>7</v>
      </c>
      <c r="D865" s="4">
        <f t="shared" si="67"/>
        <v>2023</v>
      </c>
      <c r="E865" s="4" t="str">
        <f t="shared" si="68"/>
        <v>Thu</v>
      </c>
      <c r="F865" s="4" t="str">
        <f t="shared" si="69"/>
        <v>Jul</v>
      </c>
      <c r="G865" s="3">
        <v>45134</v>
      </c>
      <c r="H865" s="4" t="s">
        <v>944</v>
      </c>
      <c r="I865" s="4" t="s">
        <v>3</v>
      </c>
      <c r="J865" s="4" t="str" cm="1">
        <f t="array" ref="J865">_xlfn.IFS(K865&gt;=50, "Senior", K865&gt;=30, "Adult", K865&lt;30,"Young Adult")</f>
        <v>Young Adult</v>
      </c>
      <c r="K865" s="4">
        <v>24</v>
      </c>
      <c r="L865" s="4" t="s">
        <v>8</v>
      </c>
      <c r="M865" s="4">
        <v>1</v>
      </c>
      <c r="N865" s="22">
        <v>500</v>
      </c>
      <c r="O865" s="24">
        <f>M865 * N865</f>
        <v>500</v>
      </c>
      <c r="P865" s="16">
        <f>O865 * $S$3</f>
        <v>7.5</v>
      </c>
      <c r="Q865" s="16">
        <f>O865 * $S$4</f>
        <v>10</v>
      </c>
    </row>
    <row r="866" spans="1:17">
      <c r="A866" s="2">
        <v>865</v>
      </c>
      <c r="B866" s="4">
        <f t="shared" si="65"/>
        <v>21</v>
      </c>
      <c r="C866" s="4">
        <f t="shared" si="66"/>
        <v>12</v>
      </c>
      <c r="D866" s="4">
        <f t="shared" si="67"/>
        <v>2023</v>
      </c>
      <c r="E866" s="4" t="str">
        <f t="shared" si="68"/>
        <v>Thu</v>
      </c>
      <c r="F866" s="4" t="str">
        <f t="shared" si="69"/>
        <v>Dec</v>
      </c>
      <c r="G866" s="3">
        <v>45281</v>
      </c>
      <c r="H866" s="4" t="s">
        <v>191</v>
      </c>
      <c r="I866" s="4" t="s">
        <v>3</v>
      </c>
      <c r="J866" s="4" t="str" cm="1">
        <f t="array" ref="J866">_xlfn.IFS(K866&gt;=50, "Senior", K866&gt;=30, "Adult", K866&lt;30,"Young Adult")</f>
        <v>Young Adult</v>
      </c>
      <c r="K866" s="4">
        <v>24</v>
      </c>
      <c r="L866" s="4" t="s">
        <v>7</v>
      </c>
      <c r="M866" s="4">
        <v>1</v>
      </c>
      <c r="N866" s="22">
        <v>300</v>
      </c>
      <c r="O866" s="24">
        <f>M866 * N866</f>
        <v>300</v>
      </c>
      <c r="P866" s="16">
        <f>O866 * $S$3</f>
        <v>4.5</v>
      </c>
      <c r="Q866" s="16">
        <f>O866 * $S$4</f>
        <v>6</v>
      </c>
    </row>
    <row r="867" spans="1:17">
      <c r="A867" s="2">
        <v>866</v>
      </c>
      <c r="B867" s="4">
        <f t="shared" si="65"/>
        <v>5</v>
      </c>
      <c r="C867" s="4">
        <f t="shared" si="66"/>
        <v>5</v>
      </c>
      <c r="D867" s="4">
        <f t="shared" si="67"/>
        <v>2023</v>
      </c>
      <c r="E867" s="4" t="str">
        <f t="shared" si="68"/>
        <v>Fri</v>
      </c>
      <c r="F867" s="4" t="str">
        <f t="shared" si="69"/>
        <v>May</v>
      </c>
      <c r="G867" s="3">
        <v>45051</v>
      </c>
      <c r="H867" s="4" t="s">
        <v>945</v>
      </c>
      <c r="I867" s="4" t="s">
        <v>4</v>
      </c>
      <c r="J867" s="4" t="str" cm="1">
        <f t="array" ref="J867">_xlfn.IFS(K867&gt;=50, "Senior", K867&gt;=30, "Adult", K867&lt;30,"Young Adult")</f>
        <v>Young Adult</v>
      </c>
      <c r="K867" s="4">
        <v>24</v>
      </c>
      <c r="L867" s="4" t="s">
        <v>8</v>
      </c>
      <c r="M867" s="4">
        <v>1</v>
      </c>
      <c r="N867" s="22">
        <v>50</v>
      </c>
      <c r="O867" s="24">
        <f>M867 * N867</f>
        <v>50</v>
      </c>
      <c r="P867" s="16">
        <f>O867 * $S$3</f>
        <v>0.75</v>
      </c>
      <c r="Q867" s="16">
        <f>O867 * $S$4</f>
        <v>1</v>
      </c>
    </row>
    <row r="868" spans="1:17">
      <c r="A868" s="2">
        <v>867</v>
      </c>
      <c r="B868" s="4">
        <f t="shared" si="65"/>
        <v>6</v>
      </c>
      <c r="C868" s="4">
        <f t="shared" si="66"/>
        <v>6</v>
      </c>
      <c r="D868" s="4">
        <f t="shared" si="67"/>
        <v>2023</v>
      </c>
      <c r="E868" s="4" t="str">
        <f t="shared" si="68"/>
        <v>Tue</v>
      </c>
      <c r="F868" s="4" t="str">
        <f t="shared" si="69"/>
        <v>Jun</v>
      </c>
      <c r="G868" s="3">
        <v>45083</v>
      </c>
      <c r="H868" s="4" t="s">
        <v>946</v>
      </c>
      <c r="I868" s="4" t="s">
        <v>4</v>
      </c>
      <c r="J868" s="4" t="str" cm="1">
        <f t="array" ref="J868">_xlfn.IFS(K868&gt;=50, "Senior", K868&gt;=30, "Adult", K868&lt;30,"Young Adult")</f>
        <v>Young Adult</v>
      </c>
      <c r="K868" s="4">
        <v>23</v>
      </c>
      <c r="L868" s="4" t="s">
        <v>8</v>
      </c>
      <c r="M868" s="4">
        <v>1</v>
      </c>
      <c r="N868" s="22">
        <v>500</v>
      </c>
      <c r="O868" s="24">
        <f>M868 * N868</f>
        <v>500</v>
      </c>
      <c r="P868" s="16">
        <f>O868 * $S$3</f>
        <v>7.5</v>
      </c>
      <c r="Q868" s="16">
        <f>O868 * $S$4</f>
        <v>10</v>
      </c>
    </row>
    <row r="869" spans="1:17">
      <c r="A869" s="2">
        <v>868</v>
      </c>
      <c r="B869" s="4">
        <f t="shared" si="65"/>
        <v>6</v>
      </c>
      <c r="C869" s="4">
        <f t="shared" si="66"/>
        <v>12</v>
      </c>
      <c r="D869" s="4">
        <f t="shared" si="67"/>
        <v>2023</v>
      </c>
      <c r="E869" s="4" t="str">
        <f t="shared" si="68"/>
        <v>Wed</v>
      </c>
      <c r="F869" s="4" t="str">
        <f t="shared" si="69"/>
        <v>Dec</v>
      </c>
      <c r="G869" s="3">
        <v>45266</v>
      </c>
      <c r="H869" s="4" t="s">
        <v>947</v>
      </c>
      <c r="I869" s="4" t="s">
        <v>3</v>
      </c>
      <c r="J869" s="4" t="str" cm="1">
        <f t="array" ref="J869">_xlfn.IFS(K869&gt;=50, "Senior", K869&gt;=30, "Adult", K869&lt;30,"Young Adult")</f>
        <v>Young Adult</v>
      </c>
      <c r="K869" s="4">
        <v>23</v>
      </c>
      <c r="L869" s="4" t="s">
        <v>8</v>
      </c>
      <c r="M869" s="4">
        <v>1</v>
      </c>
      <c r="N869" s="22">
        <v>300</v>
      </c>
      <c r="O869" s="24">
        <f>M869 * N869</f>
        <v>300</v>
      </c>
      <c r="P869" s="16">
        <f>O869 * $S$3</f>
        <v>4.5</v>
      </c>
      <c r="Q869" s="16">
        <f>O869 * $S$4</f>
        <v>6</v>
      </c>
    </row>
    <row r="870" spans="1:17">
      <c r="A870" s="2">
        <v>869</v>
      </c>
      <c r="B870" s="4">
        <f t="shared" si="65"/>
        <v>25</v>
      </c>
      <c r="C870" s="4">
        <f t="shared" si="66"/>
        <v>10</v>
      </c>
      <c r="D870" s="4">
        <f t="shared" si="67"/>
        <v>2023</v>
      </c>
      <c r="E870" s="4" t="str">
        <f t="shared" si="68"/>
        <v>Wed</v>
      </c>
      <c r="F870" s="4" t="str">
        <f t="shared" si="69"/>
        <v>Oct</v>
      </c>
      <c r="G870" s="3">
        <v>45224</v>
      </c>
      <c r="H870" s="4" t="s">
        <v>57</v>
      </c>
      <c r="I870" s="4" t="s">
        <v>4</v>
      </c>
      <c r="J870" s="4" t="str" cm="1">
        <f t="array" ref="J870">_xlfn.IFS(K870&gt;=50, "Senior", K870&gt;=30, "Adult", K870&lt;30,"Young Adult")</f>
        <v>Young Adult</v>
      </c>
      <c r="K870" s="4">
        <v>23</v>
      </c>
      <c r="L870" s="4" t="s">
        <v>6</v>
      </c>
      <c r="M870" s="4">
        <v>3</v>
      </c>
      <c r="N870" s="22">
        <v>500</v>
      </c>
      <c r="O870" s="24">
        <f>M870 * N870</f>
        <v>1500</v>
      </c>
      <c r="P870" s="16">
        <f>O870 * $S$3</f>
        <v>22.5</v>
      </c>
      <c r="Q870" s="16">
        <f>O870 * $S$4</f>
        <v>30</v>
      </c>
    </row>
    <row r="871" spans="1:17">
      <c r="A871" s="2">
        <v>870</v>
      </c>
      <c r="B871" s="4">
        <f t="shared" si="65"/>
        <v>8</v>
      </c>
      <c r="C871" s="4">
        <f t="shared" si="66"/>
        <v>7</v>
      </c>
      <c r="D871" s="4">
        <f t="shared" si="67"/>
        <v>2023</v>
      </c>
      <c r="E871" s="4" t="str">
        <f t="shared" si="68"/>
        <v>Sat</v>
      </c>
      <c r="F871" s="4" t="str">
        <f t="shared" si="69"/>
        <v>Jul</v>
      </c>
      <c r="G871" s="3">
        <v>45115</v>
      </c>
      <c r="H871" s="4" t="s">
        <v>948</v>
      </c>
      <c r="I871" s="4" t="s">
        <v>3</v>
      </c>
      <c r="J871" s="4" t="str" cm="1">
        <f t="array" ref="J871">_xlfn.IFS(K871&gt;=50, "Senior", K871&gt;=30, "Adult", K871&lt;30,"Young Adult")</f>
        <v>Young Adult</v>
      </c>
      <c r="K871" s="4">
        <v>23</v>
      </c>
      <c r="L871" s="4" t="s">
        <v>8</v>
      </c>
      <c r="M871" s="4">
        <v>4</v>
      </c>
      <c r="N871" s="22">
        <v>30</v>
      </c>
      <c r="O871" s="24">
        <f>M871 * N871</f>
        <v>120</v>
      </c>
      <c r="P871" s="16">
        <f>O871 * $S$3</f>
        <v>1.7999999999999998</v>
      </c>
      <c r="Q871" s="16">
        <f>O871 * $S$4</f>
        <v>2.4</v>
      </c>
    </row>
    <row r="872" spans="1:17">
      <c r="A872" s="2">
        <v>871</v>
      </c>
      <c r="B872" s="4">
        <f t="shared" si="65"/>
        <v>31</v>
      </c>
      <c r="C872" s="4">
        <f t="shared" si="66"/>
        <v>8</v>
      </c>
      <c r="D872" s="4">
        <f t="shared" si="67"/>
        <v>2023</v>
      </c>
      <c r="E872" s="4" t="str">
        <f t="shared" si="68"/>
        <v>Thu</v>
      </c>
      <c r="F872" s="4" t="str">
        <f t="shared" si="69"/>
        <v>Aug</v>
      </c>
      <c r="G872" s="3">
        <v>45169</v>
      </c>
      <c r="H872" s="4" t="s">
        <v>949</v>
      </c>
      <c r="I872" s="4" t="s">
        <v>4</v>
      </c>
      <c r="J872" s="4" t="str" cm="1">
        <f t="array" ref="J872">_xlfn.IFS(K872&gt;=50, "Senior", K872&gt;=30, "Adult", K872&lt;30,"Young Adult")</f>
        <v>Young Adult</v>
      </c>
      <c r="K872" s="4">
        <v>23</v>
      </c>
      <c r="L872" s="4" t="s">
        <v>6</v>
      </c>
      <c r="M872" s="4">
        <v>2</v>
      </c>
      <c r="N872" s="22">
        <v>30</v>
      </c>
      <c r="O872" s="24">
        <f>M872 * N872</f>
        <v>60</v>
      </c>
      <c r="P872" s="16">
        <f>O872 * $S$3</f>
        <v>0.89999999999999991</v>
      </c>
      <c r="Q872" s="16">
        <f>O872 * $S$4</f>
        <v>1.2</v>
      </c>
    </row>
    <row r="873" spans="1:17">
      <c r="A873" s="2">
        <v>872</v>
      </c>
      <c r="B873" s="4">
        <f t="shared" si="65"/>
        <v>11</v>
      </c>
      <c r="C873" s="4">
        <f t="shared" si="66"/>
        <v>10</v>
      </c>
      <c r="D873" s="4">
        <f t="shared" si="67"/>
        <v>2023</v>
      </c>
      <c r="E873" s="4" t="str">
        <f t="shared" si="68"/>
        <v>Wed</v>
      </c>
      <c r="F873" s="4" t="str">
        <f t="shared" si="69"/>
        <v>Oct</v>
      </c>
      <c r="G873" s="3">
        <v>45210</v>
      </c>
      <c r="H873" s="4" t="s">
        <v>950</v>
      </c>
      <c r="I873" s="4" t="s">
        <v>3</v>
      </c>
      <c r="J873" s="4" t="str" cm="1">
        <f t="array" ref="J873">_xlfn.IFS(K873&gt;=50, "Senior", K873&gt;=30, "Adult", K873&lt;30,"Young Adult")</f>
        <v>Young Adult</v>
      </c>
      <c r="K873" s="4">
        <v>23</v>
      </c>
      <c r="L873" s="4" t="s">
        <v>6</v>
      </c>
      <c r="M873" s="4">
        <v>3</v>
      </c>
      <c r="N873" s="22">
        <v>25</v>
      </c>
      <c r="O873" s="24">
        <f>M873 * N873</f>
        <v>75</v>
      </c>
      <c r="P873" s="16">
        <f>O873 * $S$3</f>
        <v>1.125</v>
      </c>
      <c r="Q873" s="16">
        <f>O873 * $S$4</f>
        <v>1.5</v>
      </c>
    </row>
    <row r="874" spans="1:17">
      <c r="A874" s="2">
        <v>873</v>
      </c>
      <c r="B874" s="4">
        <f t="shared" si="65"/>
        <v>29</v>
      </c>
      <c r="C874" s="4">
        <f t="shared" si="66"/>
        <v>9</v>
      </c>
      <c r="D874" s="4">
        <f t="shared" si="67"/>
        <v>2023</v>
      </c>
      <c r="E874" s="4" t="str">
        <f t="shared" si="68"/>
        <v>Fri</v>
      </c>
      <c r="F874" s="4" t="str">
        <f t="shared" si="69"/>
        <v>Sep</v>
      </c>
      <c r="G874" s="3">
        <v>45198</v>
      </c>
      <c r="H874" s="4" t="s">
        <v>951</v>
      </c>
      <c r="I874" s="4" t="s">
        <v>3</v>
      </c>
      <c r="J874" s="4" t="str" cm="1">
        <f t="array" ref="J874">_xlfn.IFS(K874&gt;=50, "Senior", K874&gt;=30, "Adult", K874&lt;30,"Young Adult")</f>
        <v>Young Adult</v>
      </c>
      <c r="K874" s="4">
        <v>23</v>
      </c>
      <c r="L874" s="4" t="s">
        <v>8</v>
      </c>
      <c r="M874" s="4">
        <v>4</v>
      </c>
      <c r="N874" s="22">
        <v>25</v>
      </c>
      <c r="O874" s="24">
        <f>M874 * N874</f>
        <v>100</v>
      </c>
      <c r="P874" s="16">
        <f>O874 * $S$3</f>
        <v>1.5</v>
      </c>
      <c r="Q874" s="16">
        <f>O874 * $S$4</f>
        <v>2</v>
      </c>
    </row>
    <row r="875" spans="1:17">
      <c r="A875" s="2">
        <v>874</v>
      </c>
      <c r="B875" s="4">
        <f t="shared" si="65"/>
        <v>26</v>
      </c>
      <c r="C875" s="4">
        <f t="shared" si="66"/>
        <v>6</v>
      </c>
      <c r="D875" s="4">
        <f t="shared" si="67"/>
        <v>2023</v>
      </c>
      <c r="E875" s="4" t="str">
        <f t="shared" si="68"/>
        <v>Mon</v>
      </c>
      <c r="F875" s="4" t="str">
        <f t="shared" si="69"/>
        <v>Jun</v>
      </c>
      <c r="G875" s="3">
        <v>45103</v>
      </c>
      <c r="H875" s="4" t="s">
        <v>952</v>
      </c>
      <c r="I875" s="4" t="s">
        <v>4</v>
      </c>
      <c r="J875" s="4" t="str" cm="1">
        <f t="array" ref="J875">_xlfn.IFS(K875&gt;=50, "Senior", K875&gt;=30, "Adult", K875&lt;30,"Young Adult")</f>
        <v>Young Adult</v>
      </c>
      <c r="K875" s="4">
        <v>23</v>
      </c>
      <c r="L875" s="4" t="s">
        <v>6</v>
      </c>
      <c r="M875" s="4">
        <v>1</v>
      </c>
      <c r="N875" s="22">
        <v>30</v>
      </c>
      <c r="O875" s="24">
        <f>M875 * N875</f>
        <v>30</v>
      </c>
      <c r="P875" s="16">
        <f>O875 * $S$3</f>
        <v>0.44999999999999996</v>
      </c>
      <c r="Q875" s="16">
        <f>O875 * $S$4</f>
        <v>0.6</v>
      </c>
    </row>
    <row r="876" spans="1:17">
      <c r="A876" s="2">
        <v>875</v>
      </c>
      <c r="B876" s="4">
        <f t="shared" si="65"/>
        <v>6</v>
      </c>
      <c r="C876" s="4">
        <f t="shared" si="66"/>
        <v>8</v>
      </c>
      <c r="D876" s="4">
        <f t="shared" si="67"/>
        <v>2023</v>
      </c>
      <c r="E876" s="4" t="str">
        <f t="shared" si="68"/>
        <v>Sun</v>
      </c>
      <c r="F876" s="4" t="str">
        <f t="shared" si="69"/>
        <v>Aug</v>
      </c>
      <c r="G876" s="3">
        <v>45144</v>
      </c>
      <c r="H876" s="4" t="s">
        <v>953</v>
      </c>
      <c r="I876" s="4" t="s">
        <v>3</v>
      </c>
      <c r="J876" s="4" t="str" cm="1">
        <f t="array" ref="J876">_xlfn.IFS(K876&gt;=50, "Senior", K876&gt;=30, "Adult", K876&lt;30,"Young Adult")</f>
        <v>Young Adult</v>
      </c>
      <c r="K876" s="4">
        <v>23</v>
      </c>
      <c r="L876" s="4" t="s">
        <v>8</v>
      </c>
      <c r="M876" s="4">
        <v>4</v>
      </c>
      <c r="N876" s="22">
        <v>500</v>
      </c>
      <c r="O876" s="24">
        <f>M876 * N876</f>
        <v>2000</v>
      </c>
      <c r="P876" s="16">
        <f>O876 * $S$3</f>
        <v>30</v>
      </c>
      <c r="Q876" s="16">
        <f>O876 * $S$4</f>
        <v>40</v>
      </c>
    </row>
    <row r="877" spans="1:17">
      <c r="A877" s="2">
        <v>876</v>
      </c>
      <c r="B877" s="4">
        <f t="shared" si="65"/>
        <v>9</v>
      </c>
      <c r="C877" s="4">
        <f t="shared" si="66"/>
        <v>10</v>
      </c>
      <c r="D877" s="4">
        <f t="shared" si="67"/>
        <v>2023</v>
      </c>
      <c r="E877" s="4" t="str">
        <f t="shared" si="68"/>
        <v>Mon</v>
      </c>
      <c r="F877" s="4" t="str">
        <f t="shared" si="69"/>
        <v>Oct</v>
      </c>
      <c r="G877" s="3">
        <v>45208</v>
      </c>
      <c r="H877" s="4" t="s">
        <v>190</v>
      </c>
      <c r="I877" s="4" t="s">
        <v>4</v>
      </c>
      <c r="J877" s="4" t="str" cm="1">
        <f t="array" ref="J877">_xlfn.IFS(K877&gt;=50, "Senior", K877&gt;=30, "Adult", K877&lt;30,"Young Adult")</f>
        <v>Young Adult</v>
      </c>
      <c r="K877" s="4">
        <v>23</v>
      </c>
      <c r="L877" s="4" t="s">
        <v>7</v>
      </c>
      <c r="M877" s="4">
        <v>4</v>
      </c>
      <c r="N877" s="22">
        <v>30</v>
      </c>
      <c r="O877" s="24">
        <f>M877 * N877</f>
        <v>120</v>
      </c>
      <c r="P877" s="16">
        <f>O877 * $S$3</f>
        <v>1.7999999999999998</v>
      </c>
      <c r="Q877" s="16">
        <f>O877 * $S$4</f>
        <v>2.4</v>
      </c>
    </row>
    <row r="878" spans="1:17">
      <c r="A878" s="2">
        <v>877</v>
      </c>
      <c r="B878" s="4">
        <f t="shared" si="65"/>
        <v>19</v>
      </c>
      <c r="C878" s="4">
        <f t="shared" si="66"/>
        <v>6</v>
      </c>
      <c r="D878" s="4">
        <f t="shared" si="67"/>
        <v>2023</v>
      </c>
      <c r="E878" s="4" t="str">
        <f t="shared" si="68"/>
        <v>Mon</v>
      </c>
      <c r="F878" s="4" t="str">
        <f t="shared" si="69"/>
        <v>Jun</v>
      </c>
      <c r="G878" s="3">
        <v>45096</v>
      </c>
      <c r="H878" s="4" t="s">
        <v>954</v>
      </c>
      <c r="I878" s="4" t="s">
        <v>3</v>
      </c>
      <c r="J878" s="4" t="str" cm="1">
        <f t="array" ref="J878">_xlfn.IFS(K878&gt;=50, "Senior", K878&gt;=30, "Adult", K878&lt;30,"Young Adult")</f>
        <v>Young Adult</v>
      </c>
      <c r="K878" s="4">
        <v>23</v>
      </c>
      <c r="L878" s="4" t="s">
        <v>7</v>
      </c>
      <c r="M878" s="4">
        <v>1</v>
      </c>
      <c r="N878" s="22">
        <v>25</v>
      </c>
      <c r="O878" s="24">
        <f>M878 * N878</f>
        <v>25</v>
      </c>
      <c r="P878" s="16">
        <f>O878 * $S$3</f>
        <v>0.375</v>
      </c>
      <c r="Q878" s="16">
        <f>O878 * $S$4</f>
        <v>0.5</v>
      </c>
    </row>
    <row r="879" spans="1:17">
      <c r="A879" s="2">
        <v>878</v>
      </c>
      <c r="B879" s="4">
        <f t="shared" si="65"/>
        <v>30</v>
      </c>
      <c r="C879" s="4">
        <f t="shared" si="66"/>
        <v>6</v>
      </c>
      <c r="D879" s="4">
        <f t="shared" si="67"/>
        <v>2023</v>
      </c>
      <c r="E879" s="4" t="str">
        <f t="shared" si="68"/>
        <v>Fri</v>
      </c>
      <c r="F879" s="4" t="str">
        <f t="shared" si="69"/>
        <v>Jun</v>
      </c>
      <c r="G879" s="3">
        <v>45107</v>
      </c>
      <c r="H879" s="4" t="s">
        <v>955</v>
      </c>
      <c r="I879" s="4" t="s">
        <v>3</v>
      </c>
      <c r="J879" s="4" t="str" cm="1">
        <f t="array" ref="J879">_xlfn.IFS(K879&gt;=50, "Senior", K879&gt;=30, "Adult", K879&lt;30,"Young Adult")</f>
        <v>Young Adult</v>
      </c>
      <c r="K879" s="4">
        <v>23</v>
      </c>
      <c r="L879" s="4" t="s">
        <v>7</v>
      </c>
      <c r="M879" s="4">
        <v>1</v>
      </c>
      <c r="N879" s="22">
        <v>30</v>
      </c>
      <c r="O879" s="24">
        <f>M879 * N879</f>
        <v>30</v>
      </c>
      <c r="P879" s="16">
        <f>O879 * $S$3</f>
        <v>0.44999999999999996</v>
      </c>
      <c r="Q879" s="16">
        <f>O879 * $S$4</f>
        <v>0.6</v>
      </c>
    </row>
    <row r="880" spans="1:17">
      <c r="A880" s="2">
        <v>879</v>
      </c>
      <c r="B880" s="4">
        <f t="shared" si="65"/>
        <v>26</v>
      </c>
      <c r="C880" s="4">
        <f t="shared" si="66"/>
        <v>12</v>
      </c>
      <c r="D880" s="4">
        <f t="shared" si="67"/>
        <v>2023</v>
      </c>
      <c r="E880" s="4" t="str">
        <f t="shared" si="68"/>
        <v>Tue</v>
      </c>
      <c r="F880" s="4" t="str">
        <f t="shared" si="69"/>
        <v>Dec</v>
      </c>
      <c r="G880" s="3">
        <v>45286</v>
      </c>
      <c r="H880" s="4" t="s">
        <v>956</v>
      </c>
      <c r="I880" s="4" t="s">
        <v>4</v>
      </c>
      <c r="J880" s="4" t="str" cm="1">
        <f t="array" ref="J880">_xlfn.IFS(K880&gt;=50, "Senior", K880&gt;=30, "Adult", K880&lt;30,"Young Adult")</f>
        <v>Young Adult</v>
      </c>
      <c r="K880" s="4">
        <v>23</v>
      </c>
      <c r="L880" s="4" t="s">
        <v>7</v>
      </c>
      <c r="M880" s="4">
        <v>1</v>
      </c>
      <c r="N880" s="22">
        <v>30</v>
      </c>
      <c r="O880" s="24">
        <f>M880 * N880</f>
        <v>30</v>
      </c>
      <c r="P880" s="16">
        <f>O880 * $S$3</f>
        <v>0.44999999999999996</v>
      </c>
      <c r="Q880" s="16">
        <f>O880 * $S$4</f>
        <v>0.6</v>
      </c>
    </row>
    <row r="881" spans="1:17">
      <c r="A881" s="2">
        <v>880</v>
      </c>
      <c r="B881" s="4">
        <f t="shared" si="65"/>
        <v>21</v>
      </c>
      <c r="C881" s="4">
        <f t="shared" si="66"/>
        <v>8</v>
      </c>
      <c r="D881" s="4">
        <f t="shared" si="67"/>
        <v>2023</v>
      </c>
      <c r="E881" s="4" t="str">
        <f t="shared" si="68"/>
        <v>Mon</v>
      </c>
      <c r="F881" s="4" t="str">
        <f t="shared" si="69"/>
        <v>Aug</v>
      </c>
      <c r="G881" s="3">
        <v>45159</v>
      </c>
      <c r="H881" s="4" t="s">
        <v>957</v>
      </c>
      <c r="I881" s="4" t="s">
        <v>4</v>
      </c>
      <c r="J881" s="4" t="str" cm="1">
        <f t="array" ref="J881">_xlfn.IFS(K881&gt;=50, "Senior", K881&gt;=30, "Adult", K881&lt;30,"Young Adult")</f>
        <v>Young Adult</v>
      </c>
      <c r="K881" s="4">
        <v>23</v>
      </c>
      <c r="L881" s="4" t="s">
        <v>6</v>
      </c>
      <c r="M881" s="4">
        <v>2</v>
      </c>
      <c r="N881" s="22">
        <v>500</v>
      </c>
      <c r="O881" s="24">
        <f>M881 * N881</f>
        <v>1000</v>
      </c>
      <c r="P881" s="16">
        <f>O881 * $S$3</f>
        <v>15</v>
      </c>
      <c r="Q881" s="16">
        <f>O881 * $S$4</f>
        <v>20</v>
      </c>
    </row>
    <row r="882" spans="1:17">
      <c r="A882" s="2">
        <v>881</v>
      </c>
      <c r="B882" s="4">
        <f t="shared" si="65"/>
        <v>19</v>
      </c>
      <c r="C882" s="4">
        <f t="shared" si="66"/>
        <v>5</v>
      </c>
      <c r="D882" s="4">
        <f t="shared" si="67"/>
        <v>2023</v>
      </c>
      <c r="E882" s="4" t="str">
        <f t="shared" si="68"/>
        <v>Fri</v>
      </c>
      <c r="F882" s="4" t="str">
        <f t="shared" si="69"/>
        <v>May</v>
      </c>
      <c r="G882" s="3">
        <v>45065</v>
      </c>
      <c r="H882" s="4" t="s">
        <v>958</v>
      </c>
      <c r="I882" s="4" t="s">
        <v>4</v>
      </c>
      <c r="J882" s="4" t="str" cm="1">
        <f t="array" ref="J882">_xlfn.IFS(K882&gt;=50, "Senior", K882&gt;=30, "Adult", K882&lt;30,"Young Adult")</f>
        <v>Young Adult</v>
      </c>
      <c r="K882" s="4">
        <v>23</v>
      </c>
      <c r="L882" s="4" t="s">
        <v>8</v>
      </c>
      <c r="M882" s="4">
        <v>1</v>
      </c>
      <c r="N882" s="22">
        <v>300</v>
      </c>
      <c r="O882" s="24">
        <f>M882 * N882</f>
        <v>300</v>
      </c>
      <c r="P882" s="16">
        <f>O882 * $S$3</f>
        <v>4.5</v>
      </c>
      <c r="Q882" s="16">
        <f>O882 * $S$4</f>
        <v>6</v>
      </c>
    </row>
    <row r="883" spans="1:17">
      <c r="A883" s="2">
        <v>882</v>
      </c>
      <c r="B883" s="4">
        <f t="shared" si="65"/>
        <v>6</v>
      </c>
      <c r="C883" s="4">
        <f t="shared" si="66"/>
        <v>6</v>
      </c>
      <c r="D883" s="4">
        <f t="shared" si="67"/>
        <v>2023</v>
      </c>
      <c r="E883" s="4" t="str">
        <f t="shared" si="68"/>
        <v>Tue</v>
      </c>
      <c r="F883" s="4" t="str">
        <f t="shared" si="69"/>
        <v>Jun</v>
      </c>
      <c r="G883" s="3">
        <v>45083</v>
      </c>
      <c r="H883" s="4" t="s">
        <v>959</v>
      </c>
      <c r="I883" s="4" t="s">
        <v>3</v>
      </c>
      <c r="J883" s="4" t="str" cm="1">
        <f t="array" ref="J883">_xlfn.IFS(K883&gt;=50, "Senior", K883&gt;=30, "Adult", K883&lt;30,"Young Adult")</f>
        <v>Young Adult</v>
      </c>
      <c r="K883" s="4">
        <v>23</v>
      </c>
      <c r="L883" s="4" t="s">
        <v>8</v>
      </c>
      <c r="M883" s="4">
        <v>2</v>
      </c>
      <c r="N883" s="22">
        <v>25</v>
      </c>
      <c r="O883" s="24">
        <f>M883 * N883</f>
        <v>50</v>
      </c>
      <c r="P883" s="16">
        <f>O883 * $S$3</f>
        <v>0.75</v>
      </c>
      <c r="Q883" s="16">
        <f>O883 * $S$4</f>
        <v>1</v>
      </c>
    </row>
    <row r="884" spans="1:17">
      <c r="A884" s="2">
        <v>883</v>
      </c>
      <c r="B884" s="4">
        <f t="shared" si="65"/>
        <v>9</v>
      </c>
      <c r="C884" s="4">
        <f t="shared" si="66"/>
        <v>5</v>
      </c>
      <c r="D884" s="4">
        <f t="shared" si="67"/>
        <v>2023</v>
      </c>
      <c r="E884" s="4" t="str">
        <f t="shared" si="68"/>
        <v>Tue</v>
      </c>
      <c r="F884" s="4" t="str">
        <f t="shared" si="69"/>
        <v>May</v>
      </c>
      <c r="G884" s="3">
        <v>45055</v>
      </c>
      <c r="H884" s="4" t="s">
        <v>960</v>
      </c>
      <c r="I884" s="4" t="s">
        <v>4</v>
      </c>
      <c r="J884" s="4" t="str" cm="1">
        <f t="array" ref="J884">_xlfn.IFS(K884&gt;=50, "Senior", K884&gt;=30, "Adult", K884&lt;30,"Young Adult")</f>
        <v>Young Adult</v>
      </c>
      <c r="K884" s="4">
        <v>23</v>
      </c>
      <c r="L884" s="4" t="s">
        <v>8</v>
      </c>
      <c r="M884" s="4">
        <v>1</v>
      </c>
      <c r="N884" s="22">
        <v>500</v>
      </c>
      <c r="O884" s="24">
        <f>M884 * N884</f>
        <v>500</v>
      </c>
      <c r="P884" s="16">
        <f>O884 * $S$3</f>
        <v>7.5</v>
      </c>
      <c r="Q884" s="16">
        <f>O884 * $S$4</f>
        <v>10</v>
      </c>
    </row>
    <row r="885" spans="1:17">
      <c r="A885" s="2">
        <v>884</v>
      </c>
      <c r="B885" s="4">
        <f t="shared" si="65"/>
        <v>29</v>
      </c>
      <c r="C885" s="4">
        <f t="shared" si="66"/>
        <v>4</v>
      </c>
      <c r="D885" s="4">
        <f t="shared" si="67"/>
        <v>2023</v>
      </c>
      <c r="E885" s="4" t="str">
        <f t="shared" si="68"/>
        <v>Sat</v>
      </c>
      <c r="F885" s="4" t="str">
        <f t="shared" si="69"/>
        <v>Apr</v>
      </c>
      <c r="G885" s="3">
        <v>45045</v>
      </c>
      <c r="H885" s="4" t="s">
        <v>961</v>
      </c>
      <c r="I885" s="4" t="s">
        <v>3</v>
      </c>
      <c r="J885" s="4" t="str" cm="1">
        <f t="array" ref="J885">_xlfn.IFS(K885&gt;=50, "Senior", K885&gt;=30, "Adult", K885&lt;30,"Young Adult")</f>
        <v>Young Adult</v>
      </c>
      <c r="K885" s="4">
        <v>23</v>
      </c>
      <c r="L885" s="4" t="s">
        <v>7</v>
      </c>
      <c r="M885" s="4">
        <v>2</v>
      </c>
      <c r="N885" s="22">
        <v>30</v>
      </c>
      <c r="O885" s="24">
        <f>M885 * N885</f>
        <v>60</v>
      </c>
      <c r="P885" s="16">
        <f>O885 * $S$3</f>
        <v>0.89999999999999991</v>
      </c>
      <c r="Q885" s="16">
        <f>O885 * $S$4</f>
        <v>1.2</v>
      </c>
    </row>
    <row r="886" spans="1:17">
      <c r="A886" s="2">
        <v>885</v>
      </c>
      <c r="B886" s="4">
        <f t="shared" si="65"/>
        <v>3</v>
      </c>
      <c r="C886" s="4">
        <f t="shared" si="66"/>
        <v>3</v>
      </c>
      <c r="D886" s="4">
        <f t="shared" si="67"/>
        <v>2023</v>
      </c>
      <c r="E886" s="4" t="str">
        <f t="shared" si="68"/>
        <v>Fri</v>
      </c>
      <c r="F886" s="4" t="str">
        <f t="shared" si="69"/>
        <v>Mar</v>
      </c>
      <c r="G886" s="3">
        <v>44988</v>
      </c>
      <c r="H886" s="4" t="s">
        <v>962</v>
      </c>
      <c r="I886" s="4" t="s">
        <v>3</v>
      </c>
      <c r="J886" s="4" t="str" cm="1">
        <f t="array" ref="J886">_xlfn.IFS(K886&gt;=50, "Senior", K886&gt;=30, "Adult", K886&lt;30,"Young Adult")</f>
        <v>Young Adult</v>
      </c>
      <c r="K886" s="4">
        <v>23</v>
      </c>
      <c r="L886" s="4" t="s">
        <v>7</v>
      </c>
      <c r="M886" s="4">
        <v>4</v>
      </c>
      <c r="N886" s="22">
        <v>30</v>
      </c>
      <c r="O886" s="24">
        <f>M886 * N886</f>
        <v>120</v>
      </c>
      <c r="P886" s="16">
        <f>O886 * $S$3</f>
        <v>1.7999999999999998</v>
      </c>
      <c r="Q886" s="16">
        <f>O886 * $S$4</f>
        <v>2.4</v>
      </c>
    </row>
    <row r="887" spans="1:17">
      <c r="A887" s="2">
        <v>886</v>
      </c>
      <c r="B887" s="4">
        <f t="shared" si="65"/>
        <v>9</v>
      </c>
      <c r="C887" s="4">
        <f t="shared" si="66"/>
        <v>4</v>
      </c>
      <c r="D887" s="4">
        <f t="shared" si="67"/>
        <v>2023</v>
      </c>
      <c r="E887" s="4" t="str">
        <f t="shared" si="68"/>
        <v>Sun</v>
      </c>
      <c r="F887" s="4" t="str">
        <f t="shared" si="69"/>
        <v>Apr</v>
      </c>
      <c r="G887" s="3">
        <v>45025</v>
      </c>
      <c r="H887" s="4" t="s">
        <v>963</v>
      </c>
      <c r="I887" s="4" t="s">
        <v>4</v>
      </c>
      <c r="J887" s="4" t="str" cm="1">
        <f t="array" ref="J887">_xlfn.IFS(K887&gt;=50, "Senior", K887&gt;=30, "Adult", K887&lt;30,"Young Adult")</f>
        <v>Young Adult</v>
      </c>
      <c r="K887" s="4">
        <v>23</v>
      </c>
      <c r="L887" s="4" t="s">
        <v>8</v>
      </c>
      <c r="M887" s="4">
        <v>3</v>
      </c>
      <c r="N887" s="22">
        <v>300</v>
      </c>
      <c r="O887" s="24">
        <f>M887 * N887</f>
        <v>900</v>
      </c>
      <c r="P887" s="16">
        <f>O887 * $S$3</f>
        <v>13.5</v>
      </c>
      <c r="Q887" s="16">
        <f>O887 * $S$4</f>
        <v>18</v>
      </c>
    </row>
    <row r="888" spans="1:17">
      <c r="A888" s="2">
        <v>887</v>
      </c>
      <c r="B888" s="4">
        <f t="shared" si="65"/>
        <v>11</v>
      </c>
      <c r="C888" s="4">
        <f t="shared" si="66"/>
        <v>6</v>
      </c>
      <c r="D888" s="4">
        <f t="shared" si="67"/>
        <v>2023</v>
      </c>
      <c r="E888" s="4" t="str">
        <f t="shared" si="68"/>
        <v>Sun</v>
      </c>
      <c r="F888" s="4" t="str">
        <f t="shared" si="69"/>
        <v>Jun</v>
      </c>
      <c r="G888" s="3">
        <v>45088</v>
      </c>
      <c r="H888" s="4" t="s">
        <v>964</v>
      </c>
      <c r="I888" s="4" t="s">
        <v>4</v>
      </c>
      <c r="J888" s="4" t="str" cm="1">
        <f t="array" ref="J888">_xlfn.IFS(K888&gt;=50, "Senior", K888&gt;=30, "Adult", K888&lt;30,"Young Adult")</f>
        <v>Young Adult</v>
      </c>
      <c r="K888" s="4">
        <v>23</v>
      </c>
      <c r="L888" s="4" t="s">
        <v>7</v>
      </c>
      <c r="M888" s="4">
        <v>4</v>
      </c>
      <c r="N888" s="22">
        <v>25</v>
      </c>
      <c r="O888" s="24">
        <f>M888 * N888</f>
        <v>100</v>
      </c>
      <c r="P888" s="16">
        <f>O888 * $S$3</f>
        <v>1.5</v>
      </c>
      <c r="Q888" s="16">
        <f>O888 * $S$4</f>
        <v>2</v>
      </c>
    </row>
    <row r="889" spans="1:17">
      <c r="A889" s="2">
        <v>888</v>
      </c>
      <c r="B889" s="4">
        <f t="shared" si="65"/>
        <v>3</v>
      </c>
      <c r="C889" s="4">
        <f t="shared" si="66"/>
        <v>3</v>
      </c>
      <c r="D889" s="4">
        <f t="shared" si="67"/>
        <v>2023</v>
      </c>
      <c r="E889" s="4" t="str">
        <f t="shared" si="68"/>
        <v>Fri</v>
      </c>
      <c r="F889" s="4" t="str">
        <f t="shared" si="69"/>
        <v>Mar</v>
      </c>
      <c r="G889" s="3">
        <v>44988</v>
      </c>
      <c r="H889" s="4" t="s">
        <v>965</v>
      </c>
      <c r="I889" s="4" t="s">
        <v>3</v>
      </c>
      <c r="J889" s="4" t="str" cm="1">
        <f t="array" ref="J889">_xlfn.IFS(K889&gt;=50, "Senior", K889&gt;=30, "Adult", K889&lt;30,"Young Adult")</f>
        <v>Young Adult</v>
      </c>
      <c r="K889" s="4">
        <v>23</v>
      </c>
      <c r="L889" s="4" t="s">
        <v>8</v>
      </c>
      <c r="M889" s="4">
        <v>4</v>
      </c>
      <c r="N889" s="22">
        <v>25</v>
      </c>
      <c r="O889" s="24">
        <f>M889 * N889</f>
        <v>100</v>
      </c>
      <c r="P889" s="16">
        <f>O889 * $S$3</f>
        <v>1.5</v>
      </c>
      <c r="Q889" s="16">
        <f>O889 * $S$4</f>
        <v>2</v>
      </c>
    </row>
    <row r="890" spans="1:17">
      <c r="A890" s="2">
        <v>889</v>
      </c>
      <c r="B890" s="4">
        <f t="shared" si="65"/>
        <v>2</v>
      </c>
      <c r="C890" s="4">
        <f t="shared" si="66"/>
        <v>10</v>
      </c>
      <c r="D890" s="4">
        <f t="shared" si="67"/>
        <v>2023</v>
      </c>
      <c r="E890" s="4" t="str">
        <f t="shared" si="68"/>
        <v>Mon</v>
      </c>
      <c r="F890" s="4" t="str">
        <f t="shared" si="69"/>
        <v>Oct</v>
      </c>
      <c r="G890" s="3">
        <v>45201</v>
      </c>
      <c r="H890" s="4" t="s">
        <v>966</v>
      </c>
      <c r="I890" s="4" t="s">
        <v>3</v>
      </c>
      <c r="J890" s="4" t="str" cm="1">
        <f t="array" ref="J890">_xlfn.IFS(K890&gt;=50, "Senior", K890&gt;=30, "Adult", K890&lt;30,"Young Adult")</f>
        <v>Young Adult</v>
      </c>
      <c r="K890" s="4">
        <v>23</v>
      </c>
      <c r="L890" s="4" t="s">
        <v>8</v>
      </c>
      <c r="M890" s="4">
        <v>1</v>
      </c>
      <c r="N890" s="22">
        <v>50</v>
      </c>
      <c r="O890" s="24">
        <f>M890 * N890</f>
        <v>50</v>
      </c>
      <c r="P890" s="16">
        <f>O890 * $S$3</f>
        <v>0.75</v>
      </c>
      <c r="Q890" s="16">
        <f>O890 * $S$4</f>
        <v>1</v>
      </c>
    </row>
    <row r="891" spans="1:17">
      <c r="A891" s="2">
        <v>890</v>
      </c>
      <c r="B891" s="4">
        <f t="shared" si="65"/>
        <v>20</v>
      </c>
      <c r="C891" s="4">
        <f t="shared" si="66"/>
        <v>12</v>
      </c>
      <c r="D891" s="4">
        <f t="shared" si="67"/>
        <v>2023</v>
      </c>
      <c r="E891" s="4" t="str">
        <f t="shared" si="68"/>
        <v>Wed</v>
      </c>
      <c r="F891" s="4" t="str">
        <f t="shared" si="69"/>
        <v>Dec</v>
      </c>
      <c r="G891" s="3">
        <v>45280</v>
      </c>
      <c r="H891" s="4" t="s">
        <v>967</v>
      </c>
      <c r="I891" s="4" t="s">
        <v>4</v>
      </c>
      <c r="J891" s="4" t="str" cm="1">
        <f t="array" ref="J891">_xlfn.IFS(K891&gt;=50, "Senior", K891&gt;=30, "Adult", K891&lt;30,"Young Adult")</f>
        <v>Young Adult</v>
      </c>
      <c r="K891" s="4">
        <v>23</v>
      </c>
      <c r="L891" s="4" t="s">
        <v>8</v>
      </c>
      <c r="M891" s="4">
        <v>2</v>
      </c>
      <c r="N891" s="22">
        <v>25</v>
      </c>
      <c r="O891" s="24">
        <f>M891 * N891</f>
        <v>50</v>
      </c>
      <c r="P891" s="16">
        <f>O891 * $S$3</f>
        <v>0.75</v>
      </c>
      <c r="Q891" s="16">
        <f>O891 * $S$4</f>
        <v>1</v>
      </c>
    </row>
    <row r="892" spans="1:17">
      <c r="A892" s="2">
        <v>891</v>
      </c>
      <c r="B892" s="4">
        <f t="shared" si="65"/>
        <v>5</v>
      </c>
      <c r="C892" s="4">
        <f t="shared" si="66"/>
        <v>4</v>
      </c>
      <c r="D892" s="4">
        <f t="shared" si="67"/>
        <v>2023</v>
      </c>
      <c r="E892" s="4" t="str">
        <f t="shared" si="68"/>
        <v>Wed</v>
      </c>
      <c r="F892" s="4" t="str">
        <f t="shared" si="69"/>
        <v>Apr</v>
      </c>
      <c r="G892" s="3">
        <v>45021</v>
      </c>
      <c r="H892" s="4" t="s">
        <v>968</v>
      </c>
      <c r="I892" s="4" t="s">
        <v>4</v>
      </c>
      <c r="J892" s="4" t="str" cm="1">
        <f t="array" ref="J892">_xlfn.IFS(K892&gt;=50, "Senior", K892&gt;=30, "Adult", K892&lt;30,"Young Adult")</f>
        <v>Young Adult</v>
      </c>
      <c r="K892" s="4">
        <v>22</v>
      </c>
      <c r="L892" s="4" t="s">
        <v>8</v>
      </c>
      <c r="M892" s="4">
        <v>3</v>
      </c>
      <c r="N892" s="22">
        <v>300</v>
      </c>
      <c r="O892" s="24">
        <f>M892 * N892</f>
        <v>900</v>
      </c>
      <c r="P892" s="16">
        <f>O892 * $S$3</f>
        <v>13.5</v>
      </c>
      <c r="Q892" s="16">
        <f>O892 * $S$4</f>
        <v>18</v>
      </c>
    </row>
    <row r="893" spans="1:17">
      <c r="A893" s="2">
        <v>892</v>
      </c>
      <c r="B893" s="4">
        <f t="shared" si="65"/>
        <v>9</v>
      </c>
      <c r="C893" s="4">
        <f t="shared" si="66"/>
        <v>4</v>
      </c>
      <c r="D893" s="4">
        <f t="shared" si="67"/>
        <v>2023</v>
      </c>
      <c r="E893" s="4" t="str">
        <f t="shared" si="68"/>
        <v>Sun</v>
      </c>
      <c r="F893" s="4" t="str">
        <f t="shared" si="69"/>
        <v>Apr</v>
      </c>
      <c r="G893" s="3">
        <v>45025</v>
      </c>
      <c r="H893" s="4" t="s">
        <v>969</v>
      </c>
      <c r="I893" s="4" t="s">
        <v>4</v>
      </c>
      <c r="J893" s="4" t="str" cm="1">
        <f t="array" ref="J893">_xlfn.IFS(K893&gt;=50, "Senior", K893&gt;=30, "Adult", K893&lt;30,"Young Adult")</f>
        <v>Young Adult</v>
      </c>
      <c r="K893" s="4">
        <v>22</v>
      </c>
      <c r="L893" s="4" t="s">
        <v>8</v>
      </c>
      <c r="M893" s="4">
        <v>1</v>
      </c>
      <c r="N893" s="22">
        <v>50</v>
      </c>
      <c r="O893" s="24">
        <f>M893 * N893</f>
        <v>50</v>
      </c>
      <c r="P893" s="16">
        <f>O893 * $S$3</f>
        <v>0.75</v>
      </c>
      <c r="Q893" s="16">
        <f>O893 * $S$4</f>
        <v>1</v>
      </c>
    </row>
    <row r="894" spans="1:17">
      <c r="A894" s="2">
        <v>893</v>
      </c>
      <c r="B894" s="4">
        <f t="shared" si="65"/>
        <v>21</v>
      </c>
      <c r="C894" s="4">
        <f t="shared" si="66"/>
        <v>4</v>
      </c>
      <c r="D894" s="4">
        <f t="shared" si="67"/>
        <v>2023</v>
      </c>
      <c r="E894" s="4" t="str">
        <f t="shared" si="68"/>
        <v>Fri</v>
      </c>
      <c r="F894" s="4" t="str">
        <f t="shared" si="69"/>
        <v>Apr</v>
      </c>
      <c r="G894" s="3">
        <v>45037</v>
      </c>
      <c r="H894" s="4" t="s">
        <v>970</v>
      </c>
      <c r="I894" s="4" t="s">
        <v>4</v>
      </c>
      <c r="J894" s="4" t="str" cm="1">
        <f t="array" ref="J894">_xlfn.IFS(K894&gt;=50, "Senior", K894&gt;=30, "Adult", K894&lt;30,"Young Adult")</f>
        <v>Young Adult</v>
      </c>
      <c r="K894" s="4">
        <v>22</v>
      </c>
      <c r="L894" s="4" t="s">
        <v>8</v>
      </c>
      <c r="M894" s="4">
        <v>1</v>
      </c>
      <c r="N894" s="22">
        <v>50</v>
      </c>
      <c r="O894" s="24">
        <f>M894 * N894</f>
        <v>50</v>
      </c>
      <c r="P894" s="16">
        <f>O894 * $S$3</f>
        <v>0.75</v>
      </c>
      <c r="Q894" s="16">
        <f>O894 * $S$4</f>
        <v>1</v>
      </c>
    </row>
    <row r="895" spans="1:17">
      <c r="A895" s="2">
        <v>894</v>
      </c>
      <c r="B895" s="4">
        <f t="shared" si="65"/>
        <v>5</v>
      </c>
      <c r="C895" s="4">
        <f t="shared" si="66"/>
        <v>9</v>
      </c>
      <c r="D895" s="4">
        <f t="shared" si="67"/>
        <v>2023</v>
      </c>
      <c r="E895" s="4" t="str">
        <f t="shared" si="68"/>
        <v>Tue</v>
      </c>
      <c r="F895" s="4" t="str">
        <f t="shared" si="69"/>
        <v>Sep</v>
      </c>
      <c r="G895" s="3">
        <v>45174</v>
      </c>
      <c r="H895" s="4" t="s">
        <v>971</v>
      </c>
      <c r="I895" s="4" t="s">
        <v>4</v>
      </c>
      <c r="J895" s="4" t="str" cm="1">
        <f t="array" ref="J895">_xlfn.IFS(K895&gt;=50, "Senior", K895&gt;=30, "Adult", K895&lt;30,"Young Adult")</f>
        <v>Young Adult</v>
      </c>
      <c r="K895" s="4">
        <v>22</v>
      </c>
      <c r="L895" s="4" t="s">
        <v>8</v>
      </c>
      <c r="M895" s="4">
        <v>1</v>
      </c>
      <c r="N895" s="22">
        <v>30</v>
      </c>
      <c r="O895" s="24">
        <f>M895 * N895</f>
        <v>30</v>
      </c>
      <c r="P895" s="16">
        <f>O895 * $S$3</f>
        <v>0.44999999999999996</v>
      </c>
      <c r="Q895" s="16">
        <f>O895 * $S$4</f>
        <v>0.6</v>
      </c>
    </row>
    <row r="896" spans="1:17">
      <c r="A896" s="2">
        <v>895</v>
      </c>
      <c r="B896" s="4">
        <f t="shared" si="65"/>
        <v>22</v>
      </c>
      <c r="C896" s="4">
        <f t="shared" si="66"/>
        <v>5</v>
      </c>
      <c r="D896" s="4">
        <f t="shared" si="67"/>
        <v>2023</v>
      </c>
      <c r="E896" s="4" t="str">
        <f t="shared" si="68"/>
        <v>Mon</v>
      </c>
      <c r="F896" s="4" t="str">
        <f t="shared" si="69"/>
        <v>May</v>
      </c>
      <c r="G896" s="3">
        <v>45068</v>
      </c>
      <c r="H896" s="4" t="s">
        <v>972</v>
      </c>
      <c r="I896" s="4" t="s">
        <v>3</v>
      </c>
      <c r="J896" s="4" t="str" cm="1">
        <f t="array" ref="J896">_xlfn.IFS(K896&gt;=50, "Senior", K896&gt;=30, "Adult", K896&lt;30,"Young Adult")</f>
        <v>Young Adult</v>
      </c>
      <c r="K896" s="4">
        <v>22</v>
      </c>
      <c r="L896" s="4" t="s">
        <v>7</v>
      </c>
      <c r="M896" s="4">
        <v>4</v>
      </c>
      <c r="N896" s="22">
        <v>30</v>
      </c>
      <c r="O896" s="24">
        <f>M896 * N896</f>
        <v>120</v>
      </c>
      <c r="P896" s="16">
        <f>O896 * $S$3</f>
        <v>1.7999999999999998</v>
      </c>
      <c r="Q896" s="16">
        <f>O896 * $S$4</f>
        <v>2.4</v>
      </c>
    </row>
    <row r="897" spans="1:17">
      <c r="A897" s="2">
        <v>896</v>
      </c>
      <c r="B897" s="4">
        <f t="shared" si="65"/>
        <v>29</v>
      </c>
      <c r="C897" s="4">
        <f t="shared" si="66"/>
        <v>10</v>
      </c>
      <c r="D897" s="4">
        <f t="shared" si="67"/>
        <v>2023</v>
      </c>
      <c r="E897" s="4" t="str">
        <f t="shared" si="68"/>
        <v>Sun</v>
      </c>
      <c r="F897" s="4" t="str">
        <f t="shared" si="69"/>
        <v>Oct</v>
      </c>
      <c r="G897" s="3">
        <v>45228</v>
      </c>
      <c r="H897" s="4" t="s">
        <v>973</v>
      </c>
      <c r="I897" s="4" t="s">
        <v>3</v>
      </c>
      <c r="J897" s="4" t="str" cm="1">
        <f t="array" ref="J897">_xlfn.IFS(K897&gt;=50, "Senior", K897&gt;=30, "Adult", K897&lt;30,"Young Adult")</f>
        <v>Young Adult</v>
      </c>
      <c r="K897" s="4">
        <v>22</v>
      </c>
      <c r="L897" s="4" t="s">
        <v>8</v>
      </c>
      <c r="M897" s="4">
        <v>2</v>
      </c>
      <c r="N897" s="22">
        <v>25</v>
      </c>
      <c r="O897" s="24">
        <f>M897 * N897</f>
        <v>50</v>
      </c>
      <c r="P897" s="16">
        <f>O897 * $S$3</f>
        <v>0.75</v>
      </c>
      <c r="Q897" s="16">
        <f>O897 * $S$4</f>
        <v>1</v>
      </c>
    </row>
    <row r="898" spans="1:17">
      <c r="A898" s="2">
        <v>897</v>
      </c>
      <c r="B898" s="4">
        <f t="shared" si="65"/>
        <v>26</v>
      </c>
      <c r="C898" s="4">
        <f t="shared" si="66"/>
        <v>9</v>
      </c>
      <c r="D898" s="4">
        <f t="shared" si="67"/>
        <v>2023</v>
      </c>
      <c r="E898" s="4" t="str">
        <f t="shared" si="68"/>
        <v>Tue</v>
      </c>
      <c r="F898" s="4" t="str">
        <f t="shared" si="69"/>
        <v>Sep</v>
      </c>
      <c r="G898" s="3">
        <v>45195</v>
      </c>
      <c r="H898" s="4" t="s">
        <v>974</v>
      </c>
      <c r="I898" s="4" t="s">
        <v>3</v>
      </c>
      <c r="J898" s="4" t="str" cm="1">
        <f t="array" ref="J898">_xlfn.IFS(K898&gt;=50, "Senior", K898&gt;=30, "Adult", K898&lt;30,"Young Adult")</f>
        <v>Young Adult</v>
      </c>
      <c r="K898" s="4">
        <v>22</v>
      </c>
      <c r="L898" s="4" t="s">
        <v>8</v>
      </c>
      <c r="M898" s="4">
        <v>2</v>
      </c>
      <c r="N898" s="22">
        <v>50</v>
      </c>
      <c r="O898" s="24">
        <f>M898 * N898</f>
        <v>100</v>
      </c>
      <c r="P898" s="16">
        <f>O898 * $S$3</f>
        <v>1.5</v>
      </c>
      <c r="Q898" s="16">
        <f>O898 * $S$4</f>
        <v>2</v>
      </c>
    </row>
    <row r="899" spans="1:17">
      <c r="A899" s="2">
        <v>898</v>
      </c>
      <c r="B899" s="4">
        <f t="shared" ref="B899:B962" si="70">DAY(G899)</f>
        <v>2</v>
      </c>
      <c r="C899" s="4">
        <f t="shared" ref="C899:C962" si="71">MONTH(G899)</f>
        <v>11</v>
      </c>
      <c r="D899" s="4">
        <f t="shared" ref="D899:D962" si="72">YEAR(G899)</f>
        <v>2023</v>
      </c>
      <c r="E899" s="4" t="str">
        <f t="shared" ref="E899:E962" si="73">TEXT(G899,"DDD")</f>
        <v>Thu</v>
      </c>
      <c r="F899" s="4" t="str">
        <f t="shared" ref="F899:F962" si="74">TEXT(G899,"MMM")</f>
        <v>Nov</v>
      </c>
      <c r="G899" s="3">
        <v>45232</v>
      </c>
      <c r="H899" s="4" t="s">
        <v>189</v>
      </c>
      <c r="I899" s="4" t="s">
        <v>3</v>
      </c>
      <c r="J899" s="4" t="str" cm="1">
        <f t="array" ref="J899">_xlfn.IFS(K899&gt;=50, "Senior", K899&gt;=30, "Adult", K899&lt;30,"Young Adult")</f>
        <v>Young Adult</v>
      </c>
      <c r="K899" s="4">
        <v>22</v>
      </c>
      <c r="L899" s="4" t="s">
        <v>7</v>
      </c>
      <c r="M899" s="4">
        <v>3</v>
      </c>
      <c r="N899" s="22">
        <v>30</v>
      </c>
      <c r="O899" s="24">
        <f>M899 * N899</f>
        <v>90</v>
      </c>
      <c r="P899" s="16">
        <f>O899 * $S$3</f>
        <v>1.3499999999999999</v>
      </c>
      <c r="Q899" s="16">
        <f>O899 * $S$4</f>
        <v>1.8</v>
      </c>
    </row>
    <row r="900" spans="1:17">
      <c r="A900" s="2">
        <v>899</v>
      </c>
      <c r="B900" s="4">
        <f t="shared" si="70"/>
        <v>25</v>
      </c>
      <c r="C900" s="4">
        <f t="shared" si="71"/>
        <v>5</v>
      </c>
      <c r="D900" s="4">
        <f t="shared" si="72"/>
        <v>2023</v>
      </c>
      <c r="E900" s="4" t="str">
        <f t="shared" si="73"/>
        <v>Thu</v>
      </c>
      <c r="F900" s="4" t="str">
        <f t="shared" si="74"/>
        <v>May</v>
      </c>
      <c r="G900" s="3">
        <v>45071</v>
      </c>
      <c r="H900" s="4" t="s">
        <v>975</v>
      </c>
      <c r="I900" s="4" t="s">
        <v>4</v>
      </c>
      <c r="J900" s="4" t="str" cm="1">
        <f t="array" ref="J900">_xlfn.IFS(K900&gt;=50, "Senior", K900&gt;=30, "Adult", K900&lt;30,"Young Adult")</f>
        <v>Young Adult</v>
      </c>
      <c r="K900" s="4">
        <v>22</v>
      </c>
      <c r="L900" s="4" t="s">
        <v>7</v>
      </c>
      <c r="M900" s="4">
        <v>2</v>
      </c>
      <c r="N900" s="22">
        <v>300</v>
      </c>
      <c r="O900" s="24">
        <f>M900 * N900</f>
        <v>600</v>
      </c>
      <c r="P900" s="16">
        <f>O900 * $S$3</f>
        <v>9</v>
      </c>
      <c r="Q900" s="16">
        <f>O900 * $S$4</f>
        <v>12</v>
      </c>
    </row>
    <row r="901" spans="1:17">
      <c r="A901" s="2">
        <v>900</v>
      </c>
      <c r="B901" s="4">
        <f t="shared" si="70"/>
        <v>21</v>
      </c>
      <c r="C901" s="4">
        <f t="shared" si="71"/>
        <v>2</v>
      </c>
      <c r="D901" s="4">
        <f t="shared" si="72"/>
        <v>2023</v>
      </c>
      <c r="E901" s="4" t="str">
        <f t="shared" si="73"/>
        <v>Tue</v>
      </c>
      <c r="F901" s="4" t="str">
        <f t="shared" si="74"/>
        <v>Feb</v>
      </c>
      <c r="G901" s="3">
        <v>44978</v>
      </c>
      <c r="H901" s="4" t="s">
        <v>976</v>
      </c>
      <c r="I901" s="4" t="s">
        <v>4</v>
      </c>
      <c r="J901" s="4" t="str" cm="1">
        <f t="array" ref="J901">_xlfn.IFS(K901&gt;=50, "Senior", K901&gt;=30, "Adult", K901&lt;30,"Young Adult")</f>
        <v>Young Adult</v>
      </c>
      <c r="K901" s="4">
        <v>22</v>
      </c>
      <c r="L901" s="4" t="s">
        <v>7</v>
      </c>
      <c r="M901" s="4">
        <v>2</v>
      </c>
      <c r="N901" s="22">
        <v>30</v>
      </c>
      <c r="O901" s="24">
        <f>M901 * N901</f>
        <v>60</v>
      </c>
      <c r="P901" s="16">
        <f>O901 * $S$3</f>
        <v>0.89999999999999991</v>
      </c>
      <c r="Q901" s="16">
        <f>O901 * $S$4</f>
        <v>1.2</v>
      </c>
    </row>
    <row r="902" spans="1:17">
      <c r="A902" s="2">
        <v>901</v>
      </c>
      <c r="B902" s="4">
        <f t="shared" si="70"/>
        <v>10</v>
      </c>
      <c r="C902" s="4">
        <f t="shared" si="71"/>
        <v>4</v>
      </c>
      <c r="D902" s="4">
        <f t="shared" si="72"/>
        <v>2023</v>
      </c>
      <c r="E902" s="4" t="str">
        <f t="shared" si="73"/>
        <v>Mon</v>
      </c>
      <c r="F902" s="4" t="str">
        <f t="shared" si="74"/>
        <v>Apr</v>
      </c>
      <c r="G902" s="3">
        <v>45026</v>
      </c>
      <c r="H902" s="4" t="s">
        <v>977</v>
      </c>
      <c r="I902" s="4" t="s">
        <v>4</v>
      </c>
      <c r="J902" s="4" t="str" cm="1">
        <f t="array" ref="J902">_xlfn.IFS(K902&gt;=50, "Senior", K902&gt;=30, "Adult", K902&lt;30,"Young Adult")</f>
        <v>Young Adult</v>
      </c>
      <c r="K902" s="4">
        <v>22</v>
      </c>
      <c r="L902" s="4" t="s">
        <v>8</v>
      </c>
      <c r="M902" s="4">
        <v>1</v>
      </c>
      <c r="N902" s="22">
        <v>30</v>
      </c>
      <c r="O902" s="24">
        <f>M902 * N902</f>
        <v>30</v>
      </c>
      <c r="P902" s="16">
        <f>O902 * $S$3</f>
        <v>0.44999999999999996</v>
      </c>
      <c r="Q902" s="16">
        <f>O902 * $S$4</f>
        <v>0.6</v>
      </c>
    </row>
    <row r="903" spans="1:17">
      <c r="A903" s="2">
        <v>902</v>
      </c>
      <c r="B903" s="4">
        <f t="shared" si="70"/>
        <v>1</v>
      </c>
      <c r="C903" s="4">
        <f t="shared" si="71"/>
        <v>6</v>
      </c>
      <c r="D903" s="4">
        <f t="shared" si="72"/>
        <v>2023</v>
      </c>
      <c r="E903" s="4" t="str">
        <f t="shared" si="73"/>
        <v>Thu</v>
      </c>
      <c r="F903" s="4" t="str">
        <f t="shared" si="74"/>
        <v>Jun</v>
      </c>
      <c r="G903" s="3">
        <v>45078</v>
      </c>
      <c r="H903" s="4" t="s">
        <v>978</v>
      </c>
      <c r="I903" s="4" t="s">
        <v>3</v>
      </c>
      <c r="J903" s="4" t="str" cm="1">
        <f t="array" ref="J903">_xlfn.IFS(K903&gt;=50, "Senior", K903&gt;=30, "Adult", K903&lt;30,"Young Adult")</f>
        <v>Young Adult</v>
      </c>
      <c r="K903" s="4">
        <v>22</v>
      </c>
      <c r="L903" s="4" t="s">
        <v>6</v>
      </c>
      <c r="M903" s="4">
        <v>1</v>
      </c>
      <c r="N903" s="22">
        <v>50</v>
      </c>
      <c r="O903" s="24">
        <f>M903 * N903</f>
        <v>50</v>
      </c>
      <c r="P903" s="16">
        <f>O903 * $S$3</f>
        <v>0.75</v>
      </c>
      <c r="Q903" s="16">
        <f>O903 * $S$4</f>
        <v>1</v>
      </c>
    </row>
    <row r="904" spans="1:17">
      <c r="A904" s="2">
        <v>903</v>
      </c>
      <c r="B904" s="4">
        <f t="shared" si="70"/>
        <v>27</v>
      </c>
      <c r="C904" s="4">
        <f t="shared" si="71"/>
        <v>4</v>
      </c>
      <c r="D904" s="4">
        <f t="shared" si="72"/>
        <v>2023</v>
      </c>
      <c r="E904" s="4" t="str">
        <f t="shared" si="73"/>
        <v>Thu</v>
      </c>
      <c r="F904" s="4" t="str">
        <f t="shared" si="74"/>
        <v>Apr</v>
      </c>
      <c r="G904" s="3">
        <v>45043</v>
      </c>
      <c r="H904" s="4" t="s">
        <v>979</v>
      </c>
      <c r="I904" s="4" t="s">
        <v>3</v>
      </c>
      <c r="J904" s="4" t="str" cm="1">
        <f t="array" ref="J904">_xlfn.IFS(K904&gt;=50, "Senior", K904&gt;=30, "Adult", K904&lt;30,"Young Adult")</f>
        <v>Young Adult</v>
      </c>
      <c r="K904" s="4">
        <v>22</v>
      </c>
      <c r="L904" s="4" t="s">
        <v>6</v>
      </c>
      <c r="M904" s="4">
        <v>4</v>
      </c>
      <c r="N904" s="22">
        <v>50</v>
      </c>
      <c r="O904" s="24">
        <f>M904 * N904</f>
        <v>200</v>
      </c>
      <c r="P904" s="16">
        <f>O904 * $S$3</f>
        <v>3</v>
      </c>
      <c r="Q904" s="16">
        <f>O904 * $S$4</f>
        <v>4</v>
      </c>
    </row>
    <row r="905" spans="1:17">
      <c r="A905" s="2">
        <v>904</v>
      </c>
      <c r="B905" s="4">
        <f t="shared" si="70"/>
        <v>4</v>
      </c>
      <c r="C905" s="4">
        <f t="shared" si="71"/>
        <v>7</v>
      </c>
      <c r="D905" s="4">
        <f t="shared" si="72"/>
        <v>2023</v>
      </c>
      <c r="E905" s="4" t="str">
        <f t="shared" si="73"/>
        <v>Tue</v>
      </c>
      <c r="F905" s="4" t="str">
        <f t="shared" si="74"/>
        <v>Jul</v>
      </c>
      <c r="G905" s="3">
        <v>45111</v>
      </c>
      <c r="H905" s="4" t="s">
        <v>980</v>
      </c>
      <c r="I905" s="4" t="s">
        <v>4</v>
      </c>
      <c r="J905" s="4" t="str" cm="1">
        <f t="array" ref="J905">_xlfn.IFS(K905&gt;=50, "Senior", K905&gt;=30, "Adult", K905&lt;30,"Young Adult")</f>
        <v>Young Adult</v>
      </c>
      <c r="K905" s="4">
        <v>22</v>
      </c>
      <c r="L905" s="4" t="s">
        <v>7</v>
      </c>
      <c r="M905" s="4">
        <v>1</v>
      </c>
      <c r="N905" s="22">
        <v>500</v>
      </c>
      <c r="O905" s="24">
        <f>M905 * N905</f>
        <v>500</v>
      </c>
      <c r="P905" s="16">
        <f>O905 * $S$3</f>
        <v>7.5</v>
      </c>
      <c r="Q905" s="16">
        <f>O905 * $S$4</f>
        <v>10</v>
      </c>
    </row>
    <row r="906" spans="1:17">
      <c r="A906" s="2">
        <v>905</v>
      </c>
      <c r="B906" s="4">
        <f t="shared" si="70"/>
        <v>2</v>
      </c>
      <c r="C906" s="4">
        <f t="shared" si="71"/>
        <v>4</v>
      </c>
      <c r="D906" s="4">
        <f t="shared" si="72"/>
        <v>2023</v>
      </c>
      <c r="E906" s="4" t="str">
        <f t="shared" si="73"/>
        <v>Sun</v>
      </c>
      <c r="F906" s="4" t="str">
        <f t="shared" si="74"/>
        <v>Apr</v>
      </c>
      <c r="G906" s="3">
        <v>45018</v>
      </c>
      <c r="H906" s="4" t="s">
        <v>981</v>
      </c>
      <c r="I906" s="4" t="s">
        <v>4</v>
      </c>
      <c r="J906" s="4" t="str" cm="1">
        <f t="array" ref="J906">_xlfn.IFS(K906&gt;=50, "Senior", K906&gt;=30, "Adult", K906&lt;30,"Young Adult")</f>
        <v>Young Adult</v>
      </c>
      <c r="K906" s="4">
        <v>22</v>
      </c>
      <c r="L906" s="4" t="s">
        <v>6</v>
      </c>
      <c r="M906" s="4">
        <v>1</v>
      </c>
      <c r="N906" s="22">
        <v>300</v>
      </c>
      <c r="O906" s="24">
        <f>M906 * N906</f>
        <v>300</v>
      </c>
      <c r="P906" s="16">
        <f>O906 * $S$3</f>
        <v>4.5</v>
      </c>
      <c r="Q906" s="16">
        <f>O906 * $S$4</f>
        <v>6</v>
      </c>
    </row>
    <row r="907" spans="1:17">
      <c r="A907" s="2">
        <v>906</v>
      </c>
      <c r="B907" s="4">
        <f t="shared" si="70"/>
        <v>4</v>
      </c>
      <c r="C907" s="4">
        <f t="shared" si="71"/>
        <v>6</v>
      </c>
      <c r="D907" s="4">
        <f t="shared" si="72"/>
        <v>2023</v>
      </c>
      <c r="E907" s="4" t="str">
        <f t="shared" si="73"/>
        <v>Sun</v>
      </c>
      <c r="F907" s="4" t="str">
        <f t="shared" si="74"/>
        <v>Jun</v>
      </c>
      <c r="G907" s="3">
        <v>45081</v>
      </c>
      <c r="H907" s="4" t="s">
        <v>982</v>
      </c>
      <c r="I907" s="4" t="s">
        <v>3</v>
      </c>
      <c r="J907" s="4" t="str" cm="1">
        <f t="array" ref="J907">_xlfn.IFS(K907&gt;=50, "Senior", K907&gt;=30, "Adult", K907&lt;30,"Young Adult")</f>
        <v>Young Adult</v>
      </c>
      <c r="K907" s="4">
        <v>22</v>
      </c>
      <c r="L907" s="4" t="s">
        <v>7</v>
      </c>
      <c r="M907" s="4">
        <v>1</v>
      </c>
      <c r="N907" s="22">
        <v>50</v>
      </c>
      <c r="O907" s="24">
        <f>M907 * N907</f>
        <v>50</v>
      </c>
      <c r="P907" s="16">
        <f>O907 * $S$3</f>
        <v>0.75</v>
      </c>
      <c r="Q907" s="16">
        <f>O907 * $S$4</f>
        <v>1</v>
      </c>
    </row>
    <row r="908" spans="1:17">
      <c r="A908" s="2">
        <v>907</v>
      </c>
      <c r="B908" s="4">
        <f t="shared" si="70"/>
        <v>8</v>
      </c>
      <c r="C908" s="4">
        <f t="shared" si="71"/>
        <v>1</v>
      </c>
      <c r="D908" s="4">
        <f t="shared" si="72"/>
        <v>2023</v>
      </c>
      <c r="E908" s="4" t="str">
        <f t="shared" si="73"/>
        <v>Sun</v>
      </c>
      <c r="F908" s="4" t="str">
        <f t="shared" si="74"/>
        <v>Jan</v>
      </c>
      <c r="G908" s="3">
        <v>44934</v>
      </c>
      <c r="H908" s="4" t="s">
        <v>983</v>
      </c>
      <c r="I908" s="4" t="s">
        <v>3</v>
      </c>
      <c r="J908" s="4" t="str" cm="1">
        <f t="array" ref="J908">_xlfn.IFS(K908&gt;=50, "Senior", K908&gt;=30, "Adult", K908&lt;30,"Young Adult")</f>
        <v>Young Adult</v>
      </c>
      <c r="K908" s="4">
        <v>22</v>
      </c>
      <c r="L908" s="4" t="s">
        <v>8</v>
      </c>
      <c r="M908" s="4">
        <v>1</v>
      </c>
      <c r="N908" s="22">
        <v>25</v>
      </c>
      <c r="O908" s="24">
        <f>M908 * N908</f>
        <v>25</v>
      </c>
      <c r="P908" s="16">
        <f>O908 * $S$3</f>
        <v>0.375</v>
      </c>
      <c r="Q908" s="16">
        <f>O908 * $S$4</f>
        <v>0.5</v>
      </c>
    </row>
    <row r="909" spans="1:17">
      <c r="A909" s="2">
        <v>908</v>
      </c>
      <c r="B909" s="4">
        <f t="shared" si="70"/>
        <v>29</v>
      </c>
      <c r="C909" s="4">
        <f t="shared" si="71"/>
        <v>12</v>
      </c>
      <c r="D909" s="4">
        <f t="shared" si="72"/>
        <v>2023</v>
      </c>
      <c r="E909" s="4" t="str">
        <f t="shared" si="73"/>
        <v>Fri</v>
      </c>
      <c r="F909" s="4" t="str">
        <f t="shared" si="74"/>
        <v>Dec</v>
      </c>
      <c r="G909" s="3">
        <v>45289</v>
      </c>
      <c r="H909" s="4" t="s">
        <v>56</v>
      </c>
      <c r="I909" s="4" t="s">
        <v>4</v>
      </c>
      <c r="J909" s="4" t="str" cm="1">
        <f t="array" ref="J909">_xlfn.IFS(K909&gt;=50, "Senior", K909&gt;=30, "Adult", K909&lt;30,"Young Adult")</f>
        <v>Young Adult</v>
      </c>
      <c r="K909" s="4">
        <v>22</v>
      </c>
      <c r="L909" s="4" t="s">
        <v>6</v>
      </c>
      <c r="M909" s="4">
        <v>4</v>
      </c>
      <c r="N909" s="22">
        <v>300</v>
      </c>
      <c r="O909" s="24">
        <f>M909 * N909</f>
        <v>1200</v>
      </c>
      <c r="P909" s="16">
        <f>O909 * $S$3</f>
        <v>18</v>
      </c>
      <c r="Q909" s="16">
        <f>O909 * $S$4</f>
        <v>24</v>
      </c>
    </row>
    <row r="910" spans="1:17">
      <c r="A910" s="2">
        <v>909</v>
      </c>
      <c r="B910" s="4">
        <f t="shared" si="70"/>
        <v>1</v>
      </c>
      <c r="C910" s="4">
        <f t="shared" si="71"/>
        <v>10</v>
      </c>
      <c r="D910" s="4">
        <f t="shared" si="72"/>
        <v>2023</v>
      </c>
      <c r="E910" s="4" t="str">
        <f t="shared" si="73"/>
        <v>Sun</v>
      </c>
      <c r="F910" s="4" t="str">
        <f t="shared" si="74"/>
        <v>Oct</v>
      </c>
      <c r="G910" s="3">
        <v>45200</v>
      </c>
      <c r="H910" s="4" t="s">
        <v>984</v>
      </c>
      <c r="I910" s="4" t="s">
        <v>4</v>
      </c>
      <c r="J910" s="4" t="str" cm="1">
        <f t="array" ref="J910">_xlfn.IFS(K910&gt;=50, "Senior", K910&gt;=30, "Adult", K910&lt;30,"Young Adult")</f>
        <v>Young Adult</v>
      </c>
      <c r="K910" s="4">
        <v>22</v>
      </c>
      <c r="L910" s="4" t="s">
        <v>8</v>
      </c>
      <c r="M910" s="4">
        <v>1</v>
      </c>
      <c r="N910" s="22">
        <v>300</v>
      </c>
      <c r="O910" s="24">
        <f>M910 * N910</f>
        <v>300</v>
      </c>
      <c r="P910" s="16">
        <f>O910 * $S$3</f>
        <v>4.5</v>
      </c>
      <c r="Q910" s="16">
        <f>O910 * $S$4</f>
        <v>6</v>
      </c>
    </row>
    <row r="911" spans="1:17">
      <c r="A911" s="2">
        <v>910</v>
      </c>
      <c r="B911" s="4">
        <f t="shared" si="70"/>
        <v>6</v>
      </c>
      <c r="C911" s="4">
        <f t="shared" si="71"/>
        <v>3</v>
      </c>
      <c r="D911" s="4">
        <f t="shared" si="72"/>
        <v>2023</v>
      </c>
      <c r="E911" s="4" t="str">
        <f t="shared" si="73"/>
        <v>Mon</v>
      </c>
      <c r="F911" s="4" t="str">
        <f t="shared" si="74"/>
        <v>Mar</v>
      </c>
      <c r="G911" s="3">
        <v>44991</v>
      </c>
      <c r="H911" s="4" t="s">
        <v>985</v>
      </c>
      <c r="I911" s="4" t="s">
        <v>3</v>
      </c>
      <c r="J911" s="4" t="str" cm="1">
        <f t="array" ref="J911">_xlfn.IFS(K911&gt;=50, "Senior", K911&gt;=30, "Adult", K911&lt;30,"Young Adult")</f>
        <v>Young Adult</v>
      </c>
      <c r="K911" s="4">
        <v>22</v>
      </c>
      <c r="L911" s="4" t="s">
        <v>6</v>
      </c>
      <c r="M911" s="4">
        <v>3</v>
      </c>
      <c r="N911" s="22">
        <v>50</v>
      </c>
      <c r="O911" s="24">
        <f>M911 * N911</f>
        <v>150</v>
      </c>
      <c r="P911" s="16">
        <f>O911 * $S$3</f>
        <v>2.25</v>
      </c>
      <c r="Q911" s="16">
        <f>O911 * $S$4</f>
        <v>3</v>
      </c>
    </row>
    <row r="912" spans="1:17">
      <c r="A912" s="2">
        <v>911</v>
      </c>
      <c r="B912" s="4">
        <f t="shared" si="70"/>
        <v>21</v>
      </c>
      <c r="C912" s="4">
        <f t="shared" si="71"/>
        <v>5</v>
      </c>
      <c r="D912" s="4">
        <f t="shared" si="72"/>
        <v>2023</v>
      </c>
      <c r="E912" s="4" t="str">
        <f t="shared" si="73"/>
        <v>Sun</v>
      </c>
      <c r="F912" s="4" t="str">
        <f t="shared" si="74"/>
        <v>May</v>
      </c>
      <c r="G912" s="3">
        <v>45067</v>
      </c>
      <c r="H912" s="4" t="s">
        <v>986</v>
      </c>
      <c r="I912" s="4" t="s">
        <v>4</v>
      </c>
      <c r="J912" s="4" t="str" cm="1">
        <f t="array" ref="J912">_xlfn.IFS(K912&gt;=50, "Senior", K912&gt;=30, "Adult", K912&lt;30,"Young Adult")</f>
        <v>Young Adult</v>
      </c>
      <c r="K912" s="4">
        <v>22</v>
      </c>
      <c r="L912" s="4" t="s">
        <v>8</v>
      </c>
      <c r="M912" s="4">
        <v>3</v>
      </c>
      <c r="N912" s="22">
        <v>300</v>
      </c>
      <c r="O912" s="24">
        <f>M912 * N912</f>
        <v>900</v>
      </c>
      <c r="P912" s="16">
        <f>O912 * $S$3</f>
        <v>13.5</v>
      </c>
      <c r="Q912" s="16">
        <f>O912 * $S$4</f>
        <v>18</v>
      </c>
    </row>
    <row r="913" spans="1:17">
      <c r="A913" s="2">
        <v>912</v>
      </c>
      <c r="B913" s="4">
        <f t="shared" si="70"/>
        <v>24</v>
      </c>
      <c r="C913" s="4">
        <f t="shared" si="71"/>
        <v>1</v>
      </c>
      <c r="D913" s="4">
        <f t="shared" si="72"/>
        <v>2023</v>
      </c>
      <c r="E913" s="4" t="str">
        <f t="shared" si="73"/>
        <v>Tue</v>
      </c>
      <c r="F913" s="4" t="str">
        <f t="shared" si="74"/>
        <v>Jan</v>
      </c>
      <c r="G913" s="3">
        <v>44950</v>
      </c>
      <c r="H913" s="4" t="s">
        <v>987</v>
      </c>
      <c r="I913" s="4" t="s">
        <v>4</v>
      </c>
      <c r="J913" s="4" t="str" cm="1">
        <f t="array" ref="J913">_xlfn.IFS(K913&gt;=50, "Senior", K913&gt;=30, "Adult", K913&lt;30,"Young Adult")</f>
        <v>Young Adult</v>
      </c>
      <c r="K913" s="4">
        <v>22</v>
      </c>
      <c r="L913" s="4" t="s">
        <v>6</v>
      </c>
      <c r="M913" s="4">
        <v>3</v>
      </c>
      <c r="N913" s="22">
        <v>50</v>
      </c>
      <c r="O913" s="24">
        <f>M913 * N913</f>
        <v>150</v>
      </c>
      <c r="P913" s="16">
        <f>O913 * $S$3</f>
        <v>2.25</v>
      </c>
      <c r="Q913" s="16">
        <f>O913 * $S$4</f>
        <v>3</v>
      </c>
    </row>
    <row r="914" spans="1:17">
      <c r="A914" s="2">
        <v>913</v>
      </c>
      <c r="B914" s="4">
        <f t="shared" si="70"/>
        <v>28</v>
      </c>
      <c r="C914" s="4">
        <f t="shared" si="71"/>
        <v>1</v>
      </c>
      <c r="D914" s="4">
        <f t="shared" si="72"/>
        <v>2023</v>
      </c>
      <c r="E914" s="4" t="str">
        <f t="shared" si="73"/>
        <v>Sat</v>
      </c>
      <c r="F914" s="4" t="str">
        <f t="shared" si="74"/>
        <v>Jan</v>
      </c>
      <c r="G914" s="3">
        <v>44954</v>
      </c>
      <c r="H914" s="4" t="s">
        <v>988</v>
      </c>
      <c r="I914" s="4" t="s">
        <v>4</v>
      </c>
      <c r="J914" s="4" t="str" cm="1">
        <f t="array" ref="J914">_xlfn.IFS(K914&gt;=50, "Senior", K914&gt;=30, "Adult", K914&lt;30,"Young Adult")</f>
        <v>Young Adult</v>
      </c>
      <c r="K914" s="4">
        <v>22</v>
      </c>
      <c r="L914" s="4" t="s">
        <v>8</v>
      </c>
      <c r="M914" s="4">
        <v>3</v>
      </c>
      <c r="N914" s="22">
        <v>30</v>
      </c>
      <c r="O914" s="24">
        <f>M914 * N914</f>
        <v>90</v>
      </c>
      <c r="P914" s="16">
        <f>O914 * $S$3</f>
        <v>1.3499999999999999</v>
      </c>
      <c r="Q914" s="16">
        <f>O914 * $S$4</f>
        <v>1.8</v>
      </c>
    </row>
    <row r="915" spans="1:17">
      <c r="A915" s="2">
        <v>914</v>
      </c>
      <c r="B915" s="4">
        <f t="shared" si="70"/>
        <v>11</v>
      </c>
      <c r="C915" s="4">
        <f t="shared" si="71"/>
        <v>10</v>
      </c>
      <c r="D915" s="4">
        <f t="shared" si="72"/>
        <v>2023</v>
      </c>
      <c r="E915" s="4" t="str">
        <f t="shared" si="73"/>
        <v>Wed</v>
      </c>
      <c r="F915" s="4" t="str">
        <f t="shared" si="74"/>
        <v>Oct</v>
      </c>
      <c r="G915" s="3">
        <v>45210</v>
      </c>
      <c r="H915" s="4" t="s">
        <v>989</v>
      </c>
      <c r="I915" s="4" t="s">
        <v>3</v>
      </c>
      <c r="J915" s="4" t="str" cm="1">
        <f t="array" ref="J915">_xlfn.IFS(K915&gt;=50, "Senior", K915&gt;=30, "Adult", K915&lt;30,"Young Adult")</f>
        <v>Young Adult</v>
      </c>
      <c r="K915" s="4">
        <v>22</v>
      </c>
      <c r="L915" s="4" t="s">
        <v>8</v>
      </c>
      <c r="M915" s="4">
        <v>1</v>
      </c>
      <c r="N915" s="22">
        <v>500</v>
      </c>
      <c r="O915" s="24">
        <f>M915 * N915</f>
        <v>500</v>
      </c>
      <c r="P915" s="16">
        <f>O915 * $S$3</f>
        <v>7.5</v>
      </c>
      <c r="Q915" s="16">
        <f>O915 * $S$4</f>
        <v>10</v>
      </c>
    </row>
    <row r="916" spans="1:17">
      <c r="A916" s="2">
        <v>915</v>
      </c>
      <c r="B916" s="4">
        <f t="shared" si="70"/>
        <v>30</v>
      </c>
      <c r="C916" s="4">
        <f t="shared" si="71"/>
        <v>5</v>
      </c>
      <c r="D916" s="4">
        <f t="shared" si="72"/>
        <v>2023</v>
      </c>
      <c r="E916" s="4" t="str">
        <f t="shared" si="73"/>
        <v>Tue</v>
      </c>
      <c r="F916" s="4" t="str">
        <f t="shared" si="74"/>
        <v>May</v>
      </c>
      <c r="G916" s="3">
        <v>45076</v>
      </c>
      <c r="H916" s="4" t="s">
        <v>990</v>
      </c>
      <c r="I916" s="4" t="s">
        <v>3</v>
      </c>
      <c r="J916" s="4" t="str" cm="1">
        <f t="array" ref="J916">_xlfn.IFS(K916&gt;=50, "Senior", K916&gt;=30, "Adult", K916&lt;30,"Young Adult")</f>
        <v>Young Adult</v>
      </c>
      <c r="K916" s="4">
        <v>22</v>
      </c>
      <c r="L916" s="4" t="s">
        <v>6</v>
      </c>
      <c r="M916" s="4">
        <v>3</v>
      </c>
      <c r="N916" s="22">
        <v>30</v>
      </c>
      <c r="O916" s="24">
        <f>M916 * N916</f>
        <v>90</v>
      </c>
      <c r="P916" s="16">
        <f>O916 * $S$3</f>
        <v>1.3499999999999999</v>
      </c>
      <c r="Q916" s="16">
        <f>O916 * $S$4</f>
        <v>1.8</v>
      </c>
    </row>
    <row r="917" spans="1:17">
      <c r="A917" s="2">
        <v>916</v>
      </c>
      <c r="B917" s="4">
        <f t="shared" si="70"/>
        <v>24</v>
      </c>
      <c r="C917" s="4">
        <f t="shared" si="71"/>
        <v>12</v>
      </c>
      <c r="D917" s="4">
        <f t="shared" si="72"/>
        <v>2023</v>
      </c>
      <c r="E917" s="4" t="str">
        <f t="shared" si="73"/>
        <v>Sun</v>
      </c>
      <c r="F917" s="4" t="str">
        <f t="shared" si="74"/>
        <v>Dec</v>
      </c>
      <c r="G917" s="3">
        <v>45284</v>
      </c>
      <c r="H917" s="4" t="s">
        <v>991</v>
      </c>
      <c r="I917" s="4" t="s">
        <v>3</v>
      </c>
      <c r="J917" s="4" t="str" cm="1">
        <f t="array" ref="J917">_xlfn.IFS(K917&gt;=50, "Senior", K917&gt;=30, "Adult", K917&lt;30,"Young Adult")</f>
        <v>Young Adult</v>
      </c>
      <c r="K917" s="4">
        <v>22</v>
      </c>
      <c r="L917" s="4" t="s">
        <v>8</v>
      </c>
      <c r="M917" s="4">
        <v>1</v>
      </c>
      <c r="N917" s="22">
        <v>50</v>
      </c>
      <c r="O917" s="24">
        <f>M917 * N917</f>
        <v>50</v>
      </c>
      <c r="P917" s="16">
        <f>O917 * $S$3</f>
        <v>0.75</v>
      </c>
      <c r="Q917" s="16">
        <f>O917 * $S$4</f>
        <v>1</v>
      </c>
    </row>
    <row r="918" spans="1:17">
      <c r="A918" s="2">
        <v>917</v>
      </c>
      <c r="B918" s="4">
        <f t="shared" si="70"/>
        <v>6</v>
      </c>
      <c r="C918" s="4">
        <f t="shared" si="71"/>
        <v>3</v>
      </c>
      <c r="D918" s="4">
        <f t="shared" si="72"/>
        <v>2023</v>
      </c>
      <c r="E918" s="4" t="str">
        <f t="shared" si="73"/>
        <v>Mon</v>
      </c>
      <c r="F918" s="4" t="str">
        <f t="shared" si="74"/>
        <v>Mar</v>
      </c>
      <c r="G918" s="3">
        <v>44991</v>
      </c>
      <c r="H918" s="4" t="s">
        <v>992</v>
      </c>
      <c r="I918" s="4" t="s">
        <v>3</v>
      </c>
      <c r="J918" s="4" t="str" cm="1">
        <f t="array" ref="J918">_xlfn.IFS(K918&gt;=50, "Senior", K918&gt;=30, "Adult", K918&lt;30,"Young Adult")</f>
        <v>Young Adult</v>
      </c>
      <c r="K918" s="4">
        <v>22</v>
      </c>
      <c r="L918" s="4" t="s">
        <v>8</v>
      </c>
      <c r="M918" s="4">
        <v>4</v>
      </c>
      <c r="N918" s="22">
        <v>50</v>
      </c>
      <c r="O918" s="24">
        <f>M918 * N918</f>
        <v>200</v>
      </c>
      <c r="P918" s="16">
        <f>O918 * $S$3</f>
        <v>3</v>
      </c>
      <c r="Q918" s="16">
        <f>O918 * $S$4</f>
        <v>4</v>
      </c>
    </row>
    <row r="919" spans="1:17">
      <c r="A919" s="2">
        <v>918</v>
      </c>
      <c r="B919" s="4">
        <f t="shared" si="70"/>
        <v>23</v>
      </c>
      <c r="C919" s="4">
        <f t="shared" si="71"/>
        <v>11</v>
      </c>
      <c r="D919" s="4">
        <f t="shared" si="72"/>
        <v>2023</v>
      </c>
      <c r="E919" s="4" t="str">
        <f t="shared" si="73"/>
        <v>Thu</v>
      </c>
      <c r="F919" s="4" t="str">
        <f t="shared" si="74"/>
        <v>Nov</v>
      </c>
      <c r="G919" s="3">
        <v>45253</v>
      </c>
      <c r="H919" s="4" t="s">
        <v>993</v>
      </c>
      <c r="I919" s="4" t="s">
        <v>3</v>
      </c>
      <c r="J919" s="4" t="str" cm="1">
        <f t="array" ref="J919">_xlfn.IFS(K919&gt;=50, "Senior", K919&gt;=30, "Adult", K919&lt;30,"Young Adult")</f>
        <v>Young Adult</v>
      </c>
      <c r="K919" s="4">
        <v>21</v>
      </c>
      <c r="L919" s="4" t="s">
        <v>8</v>
      </c>
      <c r="M919" s="4">
        <v>3</v>
      </c>
      <c r="N919" s="22">
        <v>30</v>
      </c>
      <c r="O919" s="24">
        <f>M919 * N919</f>
        <v>90</v>
      </c>
      <c r="P919" s="16">
        <f>O919 * $S$3</f>
        <v>1.3499999999999999</v>
      </c>
      <c r="Q919" s="16">
        <f>O919 * $S$4</f>
        <v>1.8</v>
      </c>
    </row>
    <row r="920" spans="1:17">
      <c r="A920" s="2">
        <v>919</v>
      </c>
      <c r="B920" s="4">
        <f t="shared" si="70"/>
        <v>9</v>
      </c>
      <c r="C920" s="4">
        <f t="shared" si="71"/>
        <v>9</v>
      </c>
      <c r="D920" s="4">
        <f t="shared" si="72"/>
        <v>2023</v>
      </c>
      <c r="E920" s="4" t="str">
        <f t="shared" si="73"/>
        <v>Sat</v>
      </c>
      <c r="F920" s="4" t="str">
        <f t="shared" si="74"/>
        <v>Sep</v>
      </c>
      <c r="G920" s="3">
        <v>45178</v>
      </c>
      <c r="H920" s="4" t="s">
        <v>994</v>
      </c>
      <c r="I920" s="4" t="s">
        <v>3</v>
      </c>
      <c r="J920" s="4" t="str" cm="1">
        <f t="array" ref="J920">_xlfn.IFS(K920&gt;=50, "Senior", K920&gt;=30, "Adult", K920&lt;30,"Young Adult")</f>
        <v>Young Adult</v>
      </c>
      <c r="K920" s="4">
        <v>21</v>
      </c>
      <c r="L920" s="4" t="s">
        <v>6</v>
      </c>
      <c r="M920" s="4">
        <v>2</v>
      </c>
      <c r="N920" s="22">
        <v>25</v>
      </c>
      <c r="O920" s="24">
        <f>M920 * N920</f>
        <v>50</v>
      </c>
      <c r="P920" s="16">
        <f>O920 * $S$3</f>
        <v>0.75</v>
      </c>
      <c r="Q920" s="16">
        <f>O920 * $S$4</f>
        <v>1</v>
      </c>
    </row>
    <row r="921" spans="1:17">
      <c r="A921" s="2">
        <v>920</v>
      </c>
      <c r="B921" s="4">
        <f t="shared" si="70"/>
        <v>22</v>
      </c>
      <c r="C921" s="4">
        <f t="shared" si="71"/>
        <v>2</v>
      </c>
      <c r="D921" s="4">
        <f t="shared" si="72"/>
        <v>2023</v>
      </c>
      <c r="E921" s="4" t="str">
        <f t="shared" si="73"/>
        <v>Wed</v>
      </c>
      <c r="F921" s="4" t="str">
        <f t="shared" si="74"/>
        <v>Feb</v>
      </c>
      <c r="G921" s="3">
        <v>44979</v>
      </c>
      <c r="H921" s="4" t="s">
        <v>995</v>
      </c>
      <c r="I921" s="4" t="s">
        <v>3</v>
      </c>
      <c r="J921" s="4" t="str" cm="1">
        <f t="array" ref="J921">_xlfn.IFS(K921&gt;=50, "Senior", K921&gt;=30, "Adult", K921&lt;30,"Young Adult")</f>
        <v>Young Adult</v>
      </c>
      <c r="K921" s="4">
        <v>21</v>
      </c>
      <c r="L921" s="4" t="s">
        <v>6</v>
      </c>
      <c r="M921" s="4">
        <v>3</v>
      </c>
      <c r="N921" s="22">
        <v>25</v>
      </c>
      <c r="O921" s="24">
        <f>M921 * N921</f>
        <v>75</v>
      </c>
      <c r="P921" s="16">
        <f>O921 * $S$3</f>
        <v>1.125</v>
      </c>
      <c r="Q921" s="16">
        <f>O921 * $S$4</f>
        <v>1.5</v>
      </c>
    </row>
    <row r="922" spans="1:17">
      <c r="A922" s="2">
        <v>921</v>
      </c>
      <c r="B922" s="4">
        <f t="shared" si="70"/>
        <v>7</v>
      </c>
      <c r="C922" s="4">
        <f t="shared" si="71"/>
        <v>1</v>
      </c>
      <c r="D922" s="4">
        <f t="shared" si="72"/>
        <v>2023</v>
      </c>
      <c r="E922" s="4" t="str">
        <f t="shared" si="73"/>
        <v>Sat</v>
      </c>
      <c r="F922" s="4" t="str">
        <f t="shared" si="74"/>
        <v>Jan</v>
      </c>
      <c r="G922" s="3">
        <v>44933</v>
      </c>
      <c r="H922" s="4" t="s">
        <v>996</v>
      </c>
      <c r="I922" s="4" t="s">
        <v>4</v>
      </c>
      <c r="J922" s="4" t="str" cm="1">
        <f t="array" ref="J922">_xlfn.IFS(K922&gt;=50, "Senior", K922&gt;=30, "Adult", K922&lt;30,"Young Adult")</f>
        <v>Young Adult</v>
      </c>
      <c r="K922" s="4">
        <v>21</v>
      </c>
      <c r="L922" s="4" t="s">
        <v>8</v>
      </c>
      <c r="M922" s="4">
        <v>3</v>
      </c>
      <c r="N922" s="22">
        <v>25</v>
      </c>
      <c r="O922" s="24">
        <f>M922 * N922</f>
        <v>75</v>
      </c>
      <c r="P922" s="16">
        <f>O922 * $S$3</f>
        <v>1.125</v>
      </c>
      <c r="Q922" s="16">
        <f>O922 * $S$4</f>
        <v>1.5</v>
      </c>
    </row>
    <row r="923" spans="1:17">
      <c r="A923" s="2">
        <v>922</v>
      </c>
      <c r="B923" s="4">
        <f t="shared" si="70"/>
        <v>21</v>
      </c>
      <c r="C923" s="4">
        <f t="shared" si="71"/>
        <v>10</v>
      </c>
      <c r="D923" s="4">
        <f t="shared" si="72"/>
        <v>2023</v>
      </c>
      <c r="E923" s="4" t="str">
        <f t="shared" si="73"/>
        <v>Sat</v>
      </c>
      <c r="F923" s="4" t="str">
        <f t="shared" si="74"/>
        <v>Oct</v>
      </c>
      <c r="G923" s="3">
        <v>45220</v>
      </c>
      <c r="H923" s="4" t="s">
        <v>997</v>
      </c>
      <c r="I923" s="4" t="s">
        <v>4</v>
      </c>
      <c r="J923" s="4" t="str" cm="1">
        <f t="array" ref="J923">_xlfn.IFS(K923&gt;=50, "Senior", K923&gt;=30, "Adult", K923&lt;30,"Young Adult")</f>
        <v>Young Adult</v>
      </c>
      <c r="K923" s="4">
        <v>21</v>
      </c>
      <c r="L923" s="4" t="s">
        <v>8</v>
      </c>
      <c r="M923" s="4">
        <v>1</v>
      </c>
      <c r="N923" s="22">
        <v>50</v>
      </c>
      <c r="O923" s="24">
        <f>M923 * N923</f>
        <v>50</v>
      </c>
      <c r="P923" s="16">
        <f>O923 * $S$3</f>
        <v>0.75</v>
      </c>
      <c r="Q923" s="16">
        <f>O923 * $S$4</f>
        <v>1</v>
      </c>
    </row>
    <row r="924" spans="1:17">
      <c r="A924" s="2">
        <v>923</v>
      </c>
      <c r="B924" s="4">
        <f t="shared" si="70"/>
        <v>26</v>
      </c>
      <c r="C924" s="4">
        <f t="shared" si="71"/>
        <v>5</v>
      </c>
      <c r="D924" s="4">
        <f t="shared" si="72"/>
        <v>2023</v>
      </c>
      <c r="E924" s="4" t="str">
        <f t="shared" si="73"/>
        <v>Fri</v>
      </c>
      <c r="F924" s="4" t="str">
        <f t="shared" si="74"/>
        <v>May</v>
      </c>
      <c r="G924" s="3">
        <v>45072</v>
      </c>
      <c r="H924" s="4" t="s">
        <v>55</v>
      </c>
      <c r="I924" s="4" t="s">
        <v>4</v>
      </c>
      <c r="J924" s="4" t="str" cm="1">
        <f t="array" ref="J924">_xlfn.IFS(K924&gt;=50, "Senior", K924&gt;=30, "Adult", K924&lt;30,"Young Adult")</f>
        <v>Young Adult</v>
      </c>
      <c r="K924" s="4">
        <v>21</v>
      </c>
      <c r="L924" s="4" t="s">
        <v>6</v>
      </c>
      <c r="M924" s="4">
        <v>3</v>
      </c>
      <c r="N924" s="22">
        <v>300</v>
      </c>
      <c r="O924" s="24">
        <f>M924 * N924</f>
        <v>900</v>
      </c>
      <c r="P924" s="16">
        <f>O924 * $S$3</f>
        <v>13.5</v>
      </c>
      <c r="Q924" s="16">
        <f>O924 * $S$4</f>
        <v>18</v>
      </c>
    </row>
    <row r="925" spans="1:17">
      <c r="A925" s="2">
        <v>924</v>
      </c>
      <c r="B925" s="4">
        <f t="shared" si="70"/>
        <v>29</v>
      </c>
      <c r="C925" s="4">
        <f t="shared" si="71"/>
        <v>8</v>
      </c>
      <c r="D925" s="4">
        <f t="shared" si="72"/>
        <v>2023</v>
      </c>
      <c r="E925" s="4" t="str">
        <f t="shared" si="73"/>
        <v>Tue</v>
      </c>
      <c r="F925" s="4" t="str">
        <f t="shared" si="74"/>
        <v>Aug</v>
      </c>
      <c r="G925" s="3">
        <v>45167</v>
      </c>
      <c r="H925" s="4" t="s">
        <v>998</v>
      </c>
      <c r="I925" s="4" t="s">
        <v>4</v>
      </c>
      <c r="J925" s="4" t="str" cm="1">
        <f t="array" ref="J925">_xlfn.IFS(K925&gt;=50, "Senior", K925&gt;=30, "Adult", K925&lt;30,"Young Adult")</f>
        <v>Young Adult</v>
      </c>
      <c r="K925" s="4">
        <v>21</v>
      </c>
      <c r="L925" s="4" t="s">
        <v>6</v>
      </c>
      <c r="M925" s="4">
        <v>2</v>
      </c>
      <c r="N925" s="22">
        <v>50</v>
      </c>
      <c r="O925" s="24">
        <f>M925 * N925</f>
        <v>100</v>
      </c>
      <c r="P925" s="16">
        <f>O925 * $S$3</f>
        <v>1.5</v>
      </c>
      <c r="Q925" s="16">
        <f>O925 * $S$4</f>
        <v>2</v>
      </c>
    </row>
    <row r="926" spans="1:17">
      <c r="A926" s="2">
        <v>925</v>
      </c>
      <c r="B926" s="4">
        <f t="shared" si="70"/>
        <v>3</v>
      </c>
      <c r="C926" s="4">
        <f t="shared" si="71"/>
        <v>9</v>
      </c>
      <c r="D926" s="4">
        <f t="shared" si="72"/>
        <v>2023</v>
      </c>
      <c r="E926" s="4" t="str">
        <f t="shared" si="73"/>
        <v>Sun</v>
      </c>
      <c r="F926" s="4" t="str">
        <f t="shared" si="74"/>
        <v>Sep</v>
      </c>
      <c r="G926" s="3">
        <v>45172</v>
      </c>
      <c r="H926" s="4" t="s">
        <v>999</v>
      </c>
      <c r="I926" s="4" t="s">
        <v>4</v>
      </c>
      <c r="J926" s="4" t="str" cm="1">
        <f t="array" ref="J926">_xlfn.IFS(K926&gt;=50, "Senior", K926&gt;=30, "Adult", K926&lt;30,"Young Adult")</f>
        <v>Young Adult</v>
      </c>
      <c r="K926" s="4">
        <v>21</v>
      </c>
      <c r="L926" s="4" t="s">
        <v>8</v>
      </c>
      <c r="M926" s="4">
        <v>1</v>
      </c>
      <c r="N926" s="22">
        <v>300</v>
      </c>
      <c r="O926" s="24">
        <f>M926 * N926</f>
        <v>300</v>
      </c>
      <c r="P926" s="16">
        <f>O926 * $S$3</f>
        <v>4.5</v>
      </c>
      <c r="Q926" s="16">
        <f>O926 * $S$4</f>
        <v>6</v>
      </c>
    </row>
    <row r="927" spans="1:17">
      <c r="A927" s="2">
        <v>926</v>
      </c>
      <c r="B927" s="4">
        <f t="shared" si="70"/>
        <v>14</v>
      </c>
      <c r="C927" s="4">
        <f t="shared" si="71"/>
        <v>8</v>
      </c>
      <c r="D927" s="4">
        <f t="shared" si="72"/>
        <v>2023</v>
      </c>
      <c r="E927" s="4" t="str">
        <f t="shared" si="73"/>
        <v>Mon</v>
      </c>
      <c r="F927" s="4" t="str">
        <f t="shared" si="74"/>
        <v>Aug</v>
      </c>
      <c r="G927" s="3">
        <v>45152</v>
      </c>
      <c r="H927" s="4" t="s">
        <v>1000</v>
      </c>
      <c r="I927" s="4" t="s">
        <v>4</v>
      </c>
      <c r="J927" s="4" t="str" cm="1">
        <f t="array" ref="J927">_xlfn.IFS(K927&gt;=50, "Senior", K927&gt;=30, "Adult", K927&lt;30,"Young Adult")</f>
        <v>Young Adult</v>
      </c>
      <c r="K927" s="4">
        <v>21</v>
      </c>
      <c r="L927" s="4" t="s">
        <v>8</v>
      </c>
      <c r="M927" s="4">
        <v>1</v>
      </c>
      <c r="N927" s="22">
        <v>30</v>
      </c>
      <c r="O927" s="24">
        <f>M927 * N927</f>
        <v>30</v>
      </c>
      <c r="P927" s="16">
        <f>O927 * $S$3</f>
        <v>0.44999999999999996</v>
      </c>
      <c r="Q927" s="16">
        <f>O927 * $S$4</f>
        <v>0.6</v>
      </c>
    </row>
    <row r="928" spans="1:17">
      <c r="A928" s="2">
        <v>927</v>
      </c>
      <c r="B928" s="4">
        <f t="shared" si="70"/>
        <v>24</v>
      </c>
      <c r="C928" s="4">
        <f t="shared" si="71"/>
        <v>6</v>
      </c>
      <c r="D928" s="4">
        <f t="shared" si="72"/>
        <v>2023</v>
      </c>
      <c r="E928" s="4" t="str">
        <f t="shared" si="73"/>
        <v>Sat</v>
      </c>
      <c r="F928" s="4" t="str">
        <f t="shared" si="74"/>
        <v>Jun</v>
      </c>
      <c r="G928" s="3">
        <v>45101</v>
      </c>
      <c r="H928" s="4" t="s">
        <v>1001</v>
      </c>
      <c r="I928" s="4" t="s">
        <v>4</v>
      </c>
      <c r="J928" s="4" t="str" cm="1">
        <f t="array" ref="J928">_xlfn.IFS(K928&gt;=50, "Senior", K928&gt;=30, "Adult", K928&lt;30,"Young Adult")</f>
        <v>Young Adult</v>
      </c>
      <c r="K928" s="4">
        <v>21</v>
      </c>
      <c r="L928" s="4" t="s">
        <v>8</v>
      </c>
      <c r="M928" s="4">
        <v>4</v>
      </c>
      <c r="N928" s="22">
        <v>500</v>
      </c>
      <c r="O928" s="24">
        <f>M928 * N928</f>
        <v>2000</v>
      </c>
      <c r="P928" s="16">
        <f>O928 * $S$3</f>
        <v>30</v>
      </c>
      <c r="Q928" s="16">
        <f>O928 * $S$4</f>
        <v>40</v>
      </c>
    </row>
    <row r="929" spans="1:17">
      <c r="A929" s="2">
        <v>928</v>
      </c>
      <c r="B929" s="4">
        <f t="shared" si="70"/>
        <v>5</v>
      </c>
      <c r="C929" s="4">
        <f t="shared" si="71"/>
        <v>4</v>
      </c>
      <c r="D929" s="4">
        <f t="shared" si="72"/>
        <v>2023</v>
      </c>
      <c r="E929" s="4" t="str">
        <f t="shared" si="73"/>
        <v>Wed</v>
      </c>
      <c r="F929" s="4" t="str">
        <f t="shared" si="74"/>
        <v>Apr</v>
      </c>
      <c r="G929" s="3">
        <v>45021</v>
      </c>
      <c r="H929" s="4" t="s">
        <v>188</v>
      </c>
      <c r="I929" s="4" t="s">
        <v>3</v>
      </c>
      <c r="J929" s="4" t="str" cm="1">
        <f t="array" ref="J929">_xlfn.IFS(K929&gt;=50, "Senior", K929&gt;=30, "Adult", K929&lt;30,"Young Adult")</f>
        <v>Young Adult</v>
      </c>
      <c r="K929" s="4">
        <v>21</v>
      </c>
      <c r="L929" s="4" t="s">
        <v>7</v>
      </c>
      <c r="M929" s="4">
        <v>4</v>
      </c>
      <c r="N929" s="22">
        <v>300</v>
      </c>
      <c r="O929" s="24">
        <f>M929 * N929</f>
        <v>1200</v>
      </c>
      <c r="P929" s="16">
        <f>O929 * $S$3</f>
        <v>18</v>
      </c>
      <c r="Q929" s="16">
        <f>O929 * $S$4</f>
        <v>24</v>
      </c>
    </row>
    <row r="930" spans="1:17">
      <c r="A930" s="2">
        <v>929</v>
      </c>
      <c r="B930" s="4">
        <f t="shared" si="70"/>
        <v>27</v>
      </c>
      <c r="C930" s="4">
        <f t="shared" si="71"/>
        <v>1</v>
      </c>
      <c r="D930" s="4">
        <f t="shared" si="72"/>
        <v>2023</v>
      </c>
      <c r="E930" s="4" t="str">
        <f t="shared" si="73"/>
        <v>Fri</v>
      </c>
      <c r="F930" s="4" t="str">
        <f t="shared" si="74"/>
        <v>Jan</v>
      </c>
      <c r="G930" s="3">
        <v>44953</v>
      </c>
      <c r="H930" s="4" t="s">
        <v>1002</v>
      </c>
      <c r="I930" s="4" t="s">
        <v>3</v>
      </c>
      <c r="J930" s="4" t="str" cm="1">
        <f t="array" ref="J930">_xlfn.IFS(K930&gt;=50, "Senior", K930&gt;=30, "Adult", K930&lt;30,"Young Adult")</f>
        <v>Young Adult</v>
      </c>
      <c r="K930" s="4">
        <v>21</v>
      </c>
      <c r="L930" s="4" t="s">
        <v>6</v>
      </c>
      <c r="M930" s="4">
        <v>3</v>
      </c>
      <c r="N930" s="22">
        <v>25</v>
      </c>
      <c r="O930" s="24">
        <f>M930 * N930</f>
        <v>75</v>
      </c>
      <c r="P930" s="16">
        <f>O930 * $S$3</f>
        <v>1.125</v>
      </c>
      <c r="Q930" s="16">
        <f>O930 * $S$4</f>
        <v>1.5</v>
      </c>
    </row>
    <row r="931" spans="1:17">
      <c r="A931" s="2">
        <v>930</v>
      </c>
      <c r="B931" s="4">
        <f t="shared" si="70"/>
        <v>10</v>
      </c>
      <c r="C931" s="4">
        <f t="shared" si="71"/>
        <v>5</v>
      </c>
      <c r="D931" s="4">
        <f t="shared" si="72"/>
        <v>2023</v>
      </c>
      <c r="E931" s="4" t="str">
        <f t="shared" si="73"/>
        <v>Wed</v>
      </c>
      <c r="F931" s="4" t="str">
        <f t="shared" si="74"/>
        <v>May</v>
      </c>
      <c r="G931" s="3">
        <v>45056</v>
      </c>
      <c r="H931" s="4" t="s">
        <v>1003</v>
      </c>
      <c r="I931" s="4" t="s">
        <v>4</v>
      </c>
      <c r="J931" s="4" t="str" cm="1">
        <f t="array" ref="J931">_xlfn.IFS(K931&gt;=50, "Senior", K931&gt;=30, "Adult", K931&lt;30,"Young Adult")</f>
        <v>Young Adult</v>
      </c>
      <c r="K931" s="4">
        <v>21</v>
      </c>
      <c r="L931" s="4" t="s">
        <v>7</v>
      </c>
      <c r="M931" s="4">
        <v>4</v>
      </c>
      <c r="N931" s="22">
        <v>50</v>
      </c>
      <c r="O931" s="24">
        <f>M931 * N931</f>
        <v>200</v>
      </c>
      <c r="P931" s="16">
        <f>O931 * $S$3</f>
        <v>3</v>
      </c>
      <c r="Q931" s="16">
        <f>O931 * $S$4</f>
        <v>4</v>
      </c>
    </row>
    <row r="932" spans="1:17">
      <c r="A932" s="2">
        <v>931</v>
      </c>
      <c r="B932" s="4">
        <f t="shared" si="70"/>
        <v>2</v>
      </c>
      <c r="C932" s="4">
        <f t="shared" si="71"/>
        <v>9</v>
      </c>
      <c r="D932" s="4">
        <f t="shared" si="72"/>
        <v>2023</v>
      </c>
      <c r="E932" s="4" t="str">
        <f t="shared" si="73"/>
        <v>Sat</v>
      </c>
      <c r="F932" s="4" t="str">
        <f t="shared" si="74"/>
        <v>Sep</v>
      </c>
      <c r="G932" s="3">
        <v>45171</v>
      </c>
      <c r="H932" s="4" t="s">
        <v>54</v>
      </c>
      <c r="I932" s="4" t="s">
        <v>4</v>
      </c>
      <c r="J932" s="4" t="str" cm="1">
        <f t="array" ref="J932">_xlfn.IFS(K932&gt;=50, "Senior", K932&gt;=30, "Adult", K932&lt;30,"Young Adult")</f>
        <v>Young Adult</v>
      </c>
      <c r="K932" s="4">
        <v>21</v>
      </c>
      <c r="L932" s="4" t="s">
        <v>6</v>
      </c>
      <c r="M932" s="4">
        <v>4</v>
      </c>
      <c r="N932" s="22">
        <v>30</v>
      </c>
      <c r="O932" s="24">
        <f>M932 * N932</f>
        <v>120</v>
      </c>
      <c r="P932" s="16">
        <f>O932 * $S$3</f>
        <v>1.7999999999999998</v>
      </c>
      <c r="Q932" s="16">
        <f>O932 * $S$4</f>
        <v>2.4</v>
      </c>
    </row>
    <row r="933" spans="1:17">
      <c r="A933" s="2">
        <v>932</v>
      </c>
      <c r="B933" s="4">
        <f t="shared" si="70"/>
        <v>28</v>
      </c>
      <c r="C933" s="4">
        <f t="shared" si="71"/>
        <v>2</v>
      </c>
      <c r="D933" s="4">
        <f t="shared" si="72"/>
        <v>2023</v>
      </c>
      <c r="E933" s="4" t="str">
        <f t="shared" si="73"/>
        <v>Tue</v>
      </c>
      <c r="F933" s="4" t="str">
        <f t="shared" si="74"/>
        <v>Feb</v>
      </c>
      <c r="G933" s="3">
        <v>44985</v>
      </c>
      <c r="H933" s="4" t="s">
        <v>53</v>
      </c>
      <c r="I933" s="4" t="s">
        <v>3</v>
      </c>
      <c r="J933" s="4" t="str" cm="1">
        <f t="array" ref="J933">_xlfn.IFS(K933&gt;=50, "Senior", K933&gt;=30, "Adult", K933&lt;30,"Young Adult")</f>
        <v>Young Adult</v>
      </c>
      <c r="K933" s="4">
        <v>21</v>
      </c>
      <c r="L933" s="4" t="s">
        <v>6</v>
      </c>
      <c r="M933" s="4">
        <v>4</v>
      </c>
      <c r="N933" s="22">
        <v>25</v>
      </c>
      <c r="O933" s="24">
        <f>M933 * N933</f>
        <v>100</v>
      </c>
      <c r="P933" s="16">
        <f>O933 * $S$3</f>
        <v>1.5</v>
      </c>
      <c r="Q933" s="16">
        <f>O933 * $S$4</f>
        <v>2</v>
      </c>
    </row>
    <row r="934" spans="1:17">
      <c r="A934" s="2">
        <v>933</v>
      </c>
      <c r="B934" s="4">
        <f t="shared" si="70"/>
        <v>3</v>
      </c>
      <c r="C934" s="4">
        <f t="shared" si="71"/>
        <v>2</v>
      </c>
      <c r="D934" s="4">
        <f t="shared" si="72"/>
        <v>2023</v>
      </c>
      <c r="E934" s="4" t="str">
        <f t="shared" si="73"/>
        <v>Fri</v>
      </c>
      <c r="F934" s="4" t="str">
        <f t="shared" si="74"/>
        <v>Feb</v>
      </c>
      <c r="G934" s="3">
        <v>44960</v>
      </c>
      <c r="H934" s="4" t="s">
        <v>1004</v>
      </c>
      <c r="I934" s="4" t="s">
        <v>4</v>
      </c>
      <c r="J934" s="4" t="str" cm="1">
        <f t="array" ref="J934">_xlfn.IFS(K934&gt;=50, "Senior", K934&gt;=30, "Adult", K934&lt;30,"Young Adult")</f>
        <v>Young Adult</v>
      </c>
      <c r="K934" s="4">
        <v>21</v>
      </c>
      <c r="L934" s="4" t="s">
        <v>6</v>
      </c>
      <c r="M934" s="4">
        <v>1</v>
      </c>
      <c r="N934" s="22">
        <v>30</v>
      </c>
      <c r="O934" s="24">
        <f>M934 * N934</f>
        <v>30</v>
      </c>
      <c r="P934" s="16">
        <f>O934 * $S$3</f>
        <v>0.44999999999999996</v>
      </c>
      <c r="Q934" s="16">
        <f>O934 * $S$4</f>
        <v>0.6</v>
      </c>
    </row>
    <row r="935" spans="1:17">
      <c r="A935" s="2">
        <v>934</v>
      </c>
      <c r="B935" s="4">
        <f t="shared" si="70"/>
        <v>25</v>
      </c>
      <c r="C935" s="4">
        <f t="shared" si="71"/>
        <v>7</v>
      </c>
      <c r="D935" s="4">
        <f t="shared" si="72"/>
        <v>2023</v>
      </c>
      <c r="E935" s="4" t="str">
        <f t="shared" si="73"/>
        <v>Tue</v>
      </c>
      <c r="F935" s="4" t="str">
        <f t="shared" si="74"/>
        <v>Jul</v>
      </c>
      <c r="G935" s="3">
        <v>45132</v>
      </c>
      <c r="H935" s="4" t="s">
        <v>52</v>
      </c>
      <c r="I935" s="4" t="s">
        <v>4</v>
      </c>
      <c r="J935" s="4" t="str" cm="1">
        <f t="array" ref="J935">_xlfn.IFS(K935&gt;=50, "Senior", K935&gt;=30, "Adult", K935&lt;30,"Young Adult")</f>
        <v>Young Adult</v>
      </c>
      <c r="K935" s="4">
        <v>21</v>
      </c>
      <c r="L935" s="4" t="s">
        <v>6</v>
      </c>
      <c r="M935" s="4">
        <v>1</v>
      </c>
      <c r="N935" s="22">
        <v>500</v>
      </c>
      <c r="O935" s="24">
        <f>M935 * N935</f>
        <v>500</v>
      </c>
      <c r="P935" s="16">
        <f>O935 * $S$3</f>
        <v>7.5</v>
      </c>
      <c r="Q935" s="16">
        <f>O935 * $S$4</f>
        <v>10</v>
      </c>
    </row>
    <row r="936" spans="1:17">
      <c r="A936" s="2">
        <v>935</v>
      </c>
      <c r="B936" s="4">
        <f t="shared" si="70"/>
        <v>9</v>
      </c>
      <c r="C936" s="4">
        <f t="shared" si="71"/>
        <v>9</v>
      </c>
      <c r="D936" s="4">
        <f t="shared" si="72"/>
        <v>2023</v>
      </c>
      <c r="E936" s="4" t="str">
        <f t="shared" si="73"/>
        <v>Sat</v>
      </c>
      <c r="F936" s="4" t="str">
        <f t="shared" si="74"/>
        <v>Sep</v>
      </c>
      <c r="G936" s="3">
        <v>45178</v>
      </c>
      <c r="H936" s="4" t="s">
        <v>49</v>
      </c>
      <c r="I936" s="4" t="s">
        <v>3</v>
      </c>
      <c r="J936" s="4" t="str" cm="1">
        <f t="array" ref="J936">_xlfn.IFS(K936&gt;=50, "Senior", K936&gt;=30, "Adult", K936&lt;30,"Young Adult")</f>
        <v>Young Adult</v>
      </c>
      <c r="K936" s="4">
        <v>21</v>
      </c>
      <c r="L936" s="4" t="s">
        <v>6</v>
      </c>
      <c r="M936" s="4">
        <v>1</v>
      </c>
      <c r="N936" s="22">
        <v>50</v>
      </c>
      <c r="O936" s="24">
        <f>M936 * N936</f>
        <v>50</v>
      </c>
      <c r="P936" s="16">
        <f>O936 * $S$3</f>
        <v>0.75</v>
      </c>
      <c r="Q936" s="16">
        <f>O936 * $S$4</f>
        <v>1</v>
      </c>
    </row>
    <row r="937" spans="1:17">
      <c r="A937" s="2">
        <v>936</v>
      </c>
      <c r="B937" s="4">
        <f t="shared" si="70"/>
        <v>7</v>
      </c>
      <c r="C937" s="4">
        <f t="shared" si="71"/>
        <v>2</v>
      </c>
      <c r="D937" s="4">
        <f t="shared" si="72"/>
        <v>2023</v>
      </c>
      <c r="E937" s="4" t="str">
        <f t="shared" si="73"/>
        <v>Tue</v>
      </c>
      <c r="F937" s="4" t="str">
        <f t="shared" si="74"/>
        <v>Feb</v>
      </c>
      <c r="G937" s="3">
        <v>44964</v>
      </c>
      <c r="H937" s="4" t="s">
        <v>1005</v>
      </c>
      <c r="I937" s="4" t="s">
        <v>4</v>
      </c>
      <c r="J937" s="4" t="str" cm="1">
        <f t="array" ref="J937">_xlfn.IFS(K937&gt;=50, "Senior", K937&gt;=30, "Adult", K937&lt;30,"Young Adult")</f>
        <v>Young Adult</v>
      </c>
      <c r="K937" s="4">
        <v>21</v>
      </c>
      <c r="L937" s="4" t="s">
        <v>6</v>
      </c>
      <c r="M937" s="4">
        <v>4</v>
      </c>
      <c r="N937" s="22">
        <v>50</v>
      </c>
      <c r="O937" s="24">
        <f>M937 * N937</f>
        <v>200</v>
      </c>
      <c r="P937" s="16">
        <f>O937 * $S$3</f>
        <v>3</v>
      </c>
      <c r="Q937" s="16">
        <f>O937 * $S$4</f>
        <v>4</v>
      </c>
    </row>
    <row r="938" spans="1:17">
      <c r="A938" s="2">
        <v>937</v>
      </c>
      <c r="B938" s="4">
        <f t="shared" si="70"/>
        <v>23</v>
      </c>
      <c r="C938" s="4">
        <f t="shared" si="71"/>
        <v>10</v>
      </c>
      <c r="D938" s="4">
        <f t="shared" si="72"/>
        <v>2023</v>
      </c>
      <c r="E938" s="4" t="str">
        <f t="shared" si="73"/>
        <v>Mon</v>
      </c>
      <c r="F938" s="4" t="str">
        <f t="shared" si="74"/>
        <v>Oct</v>
      </c>
      <c r="G938" s="3">
        <v>45222</v>
      </c>
      <c r="H938" s="4" t="s">
        <v>1006</v>
      </c>
      <c r="I938" s="4" t="s">
        <v>3</v>
      </c>
      <c r="J938" s="4" t="str" cm="1">
        <f t="array" ref="J938">_xlfn.IFS(K938&gt;=50, "Senior", K938&gt;=30, "Adult", K938&lt;30,"Young Adult")</f>
        <v>Young Adult</v>
      </c>
      <c r="K938" s="4">
        <v>21</v>
      </c>
      <c r="L938" s="4" t="s">
        <v>6</v>
      </c>
      <c r="M938" s="4">
        <v>1</v>
      </c>
      <c r="N938" s="22">
        <v>500</v>
      </c>
      <c r="O938" s="24">
        <f>M938 * N938</f>
        <v>500</v>
      </c>
      <c r="P938" s="16">
        <f>O938 * $S$3</f>
        <v>7.5</v>
      </c>
      <c r="Q938" s="16">
        <f>O938 * $S$4</f>
        <v>10</v>
      </c>
    </row>
    <row r="939" spans="1:17">
      <c r="A939" s="2">
        <v>938</v>
      </c>
      <c r="B939" s="4">
        <f t="shared" si="70"/>
        <v>19</v>
      </c>
      <c r="C939" s="4">
        <f t="shared" si="71"/>
        <v>11</v>
      </c>
      <c r="D939" s="4">
        <f t="shared" si="72"/>
        <v>2023</v>
      </c>
      <c r="E939" s="4" t="str">
        <f t="shared" si="73"/>
        <v>Sun</v>
      </c>
      <c r="F939" s="4" t="str">
        <f t="shared" si="74"/>
        <v>Nov</v>
      </c>
      <c r="G939" s="3">
        <v>45249</v>
      </c>
      <c r="H939" s="4" t="s">
        <v>187</v>
      </c>
      <c r="I939" s="4" t="s">
        <v>4</v>
      </c>
      <c r="J939" s="4" t="str" cm="1">
        <f t="array" ref="J939">_xlfn.IFS(K939&gt;=50, "Senior", K939&gt;=30, "Adult", K939&lt;30,"Young Adult")</f>
        <v>Young Adult</v>
      </c>
      <c r="K939" s="4">
        <v>20</v>
      </c>
      <c r="L939" s="4" t="s">
        <v>7</v>
      </c>
      <c r="M939" s="4">
        <v>4</v>
      </c>
      <c r="N939" s="22">
        <v>50</v>
      </c>
      <c r="O939" s="24">
        <f>M939 * N939</f>
        <v>200</v>
      </c>
      <c r="P939" s="16">
        <f>O939 * $S$3</f>
        <v>3</v>
      </c>
      <c r="Q939" s="16">
        <f>O939 * $S$4</f>
        <v>4</v>
      </c>
    </row>
    <row r="940" spans="1:17">
      <c r="A940" s="2">
        <v>939</v>
      </c>
      <c r="B940" s="4">
        <f t="shared" si="70"/>
        <v>18</v>
      </c>
      <c r="C940" s="4">
        <f t="shared" si="71"/>
        <v>12</v>
      </c>
      <c r="D940" s="4">
        <f t="shared" si="72"/>
        <v>2023</v>
      </c>
      <c r="E940" s="4" t="str">
        <f t="shared" si="73"/>
        <v>Mon</v>
      </c>
      <c r="F940" s="4" t="str">
        <f t="shared" si="74"/>
        <v>Dec</v>
      </c>
      <c r="G940" s="3">
        <v>45278</v>
      </c>
      <c r="H940" s="4" t="s">
        <v>1007</v>
      </c>
      <c r="I940" s="4" t="s">
        <v>3</v>
      </c>
      <c r="J940" s="4" t="str" cm="1">
        <f t="array" ref="J940">_xlfn.IFS(K940&gt;=50, "Senior", K940&gt;=30, "Adult", K940&lt;30,"Young Adult")</f>
        <v>Young Adult</v>
      </c>
      <c r="K940" s="4">
        <v>20</v>
      </c>
      <c r="L940" s="4" t="s">
        <v>8</v>
      </c>
      <c r="M940" s="4">
        <v>1</v>
      </c>
      <c r="N940" s="22">
        <v>300</v>
      </c>
      <c r="O940" s="24">
        <f>M940 * N940</f>
        <v>300</v>
      </c>
      <c r="P940" s="16">
        <f>O940 * $S$3</f>
        <v>4.5</v>
      </c>
      <c r="Q940" s="16">
        <f>O940 * $S$4</f>
        <v>6</v>
      </c>
    </row>
    <row r="941" spans="1:17">
      <c r="A941" s="2">
        <v>940</v>
      </c>
      <c r="B941" s="4">
        <f t="shared" si="70"/>
        <v>28</v>
      </c>
      <c r="C941" s="4">
        <f t="shared" si="71"/>
        <v>1</v>
      </c>
      <c r="D941" s="4">
        <f t="shared" si="72"/>
        <v>2023</v>
      </c>
      <c r="E941" s="4" t="str">
        <f t="shared" si="73"/>
        <v>Sat</v>
      </c>
      <c r="F941" s="4" t="str">
        <f t="shared" si="74"/>
        <v>Jan</v>
      </c>
      <c r="G941" s="3">
        <v>44954</v>
      </c>
      <c r="H941" s="4" t="s">
        <v>1008</v>
      </c>
      <c r="I941" s="4" t="s">
        <v>3</v>
      </c>
      <c r="J941" s="4" t="str" cm="1">
        <f t="array" ref="J941">_xlfn.IFS(K941&gt;=50, "Senior", K941&gt;=30, "Adult", K941&lt;30,"Young Adult")</f>
        <v>Young Adult</v>
      </c>
      <c r="K941" s="4">
        <v>20</v>
      </c>
      <c r="L941" s="4" t="s">
        <v>8</v>
      </c>
      <c r="M941" s="4">
        <v>1</v>
      </c>
      <c r="N941" s="22">
        <v>30</v>
      </c>
      <c r="O941" s="24">
        <f>M941 * N941</f>
        <v>30</v>
      </c>
      <c r="P941" s="16">
        <f>O941 * $S$3</f>
        <v>0.44999999999999996</v>
      </c>
      <c r="Q941" s="16">
        <f>O941 * $S$4</f>
        <v>0.6</v>
      </c>
    </row>
    <row r="942" spans="1:17">
      <c r="A942" s="2">
        <v>941</v>
      </c>
      <c r="B942" s="4">
        <f t="shared" si="70"/>
        <v>19</v>
      </c>
      <c r="C942" s="4">
        <f t="shared" si="71"/>
        <v>3</v>
      </c>
      <c r="D942" s="4">
        <f t="shared" si="72"/>
        <v>2023</v>
      </c>
      <c r="E942" s="4" t="str">
        <f t="shared" si="73"/>
        <v>Sun</v>
      </c>
      <c r="F942" s="4" t="str">
        <f t="shared" si="74"/>
        <v>Mar</v>
      </c>
      <c r="G942" s="3">
        <v>45004</v>
      </c>
      <c r="H942" s="4" t="s">
        <v>1009</v>
      </c>
      <c r="I942" s="4" t="s">
        <v>3</v>
      </c>
      <c r="J942" s="4" t="str" cm="1">
        <f t="array" ref="J942">_xlfn.IFS(K942&gt;=50, "Senior", K942&gt;=30, "Adult", K942&lt;30,"Young Adult")</f>
        <v>Young Adult</v>
      </c>
      <c r="K942" s="4">
        <v>20</v>
      </c>
      <c r="L942" s="4" t="s">
        <v>7</v>
      </c>
      <c r="M942" s="4">
        <v>2</v>
      </c>
      <c r="N942" s="22">
        <v>25</v>
      </c>
      <c r="O942" s="24">
        <f>M942 * N942</f>
        <v>50</v>
      </c>
      <c r="P942" s="16">
        <f>O942 * $S$3</f>
        <v>0.75</v>
      </c>
      <c r="Q942" s="16">
        <f>O942 * $S$4</f>
        <v>1</v>
      </c>
    </row>
    <row r="943" spans="1:17">
      <c r="A943" s="2">
        <v>942</v>
      </c>
      <c r="B943" s="4">
        <f t="shared" si="70"/>
        <v>18</v>
      </c>
      <c r="C943" s="4">
        <f t="shared" si="71"/>
        <v>3</v>
      </c>
      <c r="D943" s="4">
        <f t="shared" si="72"/>
        <v>2023</v>
      </c>
      <c r="E943" s="4" t="str">
        <f t="shared" si="73"/>
        <v>Sat</v>
      </c>
      <c r="F943" s="4" t="str">
        <f t="shared" si="74"/>
        <v>Mar</v>
      </c>
      <c r="G943" s="3">
        <v>45003</v>
      </c>
      <c r="H943" s="4" t="s">
        <v>1010</v>
      </c>
      <c r="I943" s="4" t="s">
        <v>4</v>
      </c>
      <c r="J943" s="4" t="str" cm="1">
        <f t="array" ref="J943">_xlfn.IFS(K943&gt;=50, "Senior", K943&gt;=30, "Adult", K943&lt;30,"Young Adult")</f>
        <v>Young Adult</v>
      </c>
      <c r="K943" s="4">
        <v>20</v>
      </c>
      <c r="L943" s="4" t="s">
        <v>7</v>
      </c>
      <c r="M943" s="4">
        <v>3</v>
      </c>
      <c r="N943" s="22">
        <v>500</v>
      </c>
      <c r="O943" s="24">
        <f>M943 * N943</f>
        <v>1500</v>
      </c>
      <c r="P943" s="16">
        <f>O943 * $S$3</f>
        <v>22.5</v>
      </c>
      <c r="Q943" s="16">
        <f>O943 * $S$4</f>
        <v>30</v>
      </c>
    </row>
    <row r="944" spans="1:17">
      <c r="A944" s="2">
        <v>943</v>
      </c>
      <c r="B944" s="4">
        <f t="shared" si="70"/>
        <v>16</v>
      </c>
      <c r="C944" s="4">
        <f t="shared" si="71"/>
        <v>10</v>
      </c>
      <c r="D944" s="4">
        <f t="shared" si="72"/>
        <v>2023</v>
      </c>
      <c r="E944" s="4" t="str">
        <f t="shared" si="73"/>
        <v>Mon</v>
      </c>
      <c r="F944" s="4" t="str">
        <f t="shared" si="74"/>
        <v>Oct</v>
      </c>
      <c r="G944" s="3">
        <v>45215</v>
      </c>
      <c r="H944" s="4" t="s">
        <v>1011</v>
      </c>
      <c r="I944" s="4" t="s">
        <v>3</v>
      </c>
      <c r="J944" s="4" t="str" cm="1">
        <f t="array" ref="J944">_xlfn.IFS(K944&gt;=50, "Senior", K944&gt;=30, "Adult", K944&lt;30,"Young Adult")</f>
        <v>Young Adult</v>
      </c>
      <c r="K944" s="4">
        <v>20</v>
      </c>
      <c r="L944" s="4" t="s">
        <v>7</v>
      </c>
      <c r="M944" s="4">
        <v>4</v>
      </c>
      <c r="N944" s="22">
        <v>300</v>
      </c>
      <c r="O944" s="24">
        <f>M944 * N944</f>
        <v>1200</v>
      </c>
      <c r="P944" s="16">
        <f>O944 * $S$3</f>
        <v>18</v>
      </c>
      <c r="Q944" s="16">
        <f>O944 * $S$4</f>
        <v>24</v>
      </c>
    </row>
    <row r="945" spans="1:17">
      <c r="A945" s="2">
        <v>944</v>
      </c>
      <c r="B945" s="4">
        <f t="shared" si="70"/>
        <v>5</v>
      </c>
      <c r="C945" s="4">
        <f t="shared" si="71"/>
        <v>6</v>
      </c>
      <c r="D945" s="4">
        <f t="shared" si="72"/>
        <v>2023</v>
      </c>
      <c r="E945" s="4" t="str">
        <f t="shared" si="73"/>
        <v>Mon</v>
      </c>
      <c r="F945" s="4" t="str">
        <f t="shared" si="74"/>
        <v>Jun</v>
      </c>
      <c r="G945" s="3">
        <v>45082</v>
      </c>
      <c r="H945" s="4" t="s">
        <v>186</v>
      </c>
      <c r="I945" s="4" t="s">
        <v>4</v>
      </c>
      <c r="J945" s="4" t="str" cm="1">
        <f t="array" ref="J945">_xlfn.IFS(K945&gt;=50, "Senior", K945&gt;=30, "Adult", K945&lt;30,"Young Adult")</f>
        <v>Young Adult</v>
      </c>
      <c r="K945" s="4">
        <v>20</v>
      </c>
      <c r="L945" s="4" t="s">
        <v>7</v>
      </c>
      <c r="M945" s="4">
        <v>2</v>
      </c>
      <c r="N945" s="22">
        <v>25</v>
      </c>
      <c r="O945" s="24">
        <f>M945 * N945</f>
        <v>50</v>
      </c>
      <c r="P945" s="16">
        <f>O945 * $S$3</f>
        <v>0.75</v>
      </c>
      <c r="Q945" s="16">
        <f>O945 * $S$4</f>
        <v>1</v>
      </c>
    </row>
    <row r="946" spans="1:17">
      <c r="A946" s="2">
        <v>945</v>
      </c>
      <c r="B946" s="4">
        <f t="shared" si="70"/>
        <v>13</v>
      </c>
      <c r="C946" s="4">
        <f t="shared" si="71"/>
        <v>2</v>
      </c>
      <c r="D946" s="4">
        <f t="shared" si="72"/>
        <v>2023</v>
      </c>
      <c r="E946" s="4" t="str">
        <f t="shared" si="73"/>
        <v>Mon</v>
      </c>
      <c r="F946" s="4" t="str">
        <f t="shared" si="74"/>
        <v>Feb</v>
      </c>
      <c r="G946" s="3">
        <v>44970</v>
      </c>
      <c r="H946" s="4" t="s">
        <v>47</v>
      </c>
      <c r="I946" s="4" t="s">
        <v>4</v>
      </c>
      <c r="J946" s="4" t="str" cm="1">
        <f t="array" ref="J946">_xlfn.IFS(K946&gt;=50, "Senior", K946&gt;=30, "Adult", K946&lt;30,"Young Adult")</f>
        <v>Young Adult</v>
      </c>
      <c r="K946" s="4">
        <v>20</v>
      </c>
      <c r="L946" s="4" t="s">
        <v>6</v>
      </c>
      <c r="M946" s="4">
        <v>1</v>
      </c>
      <c r="N946" s="22">
        <v>25</v>
      </c>
      <c r="O946" s="24">
        <f>M946 * N946</f>
        <v>25</v>
      </c>
      <c r="P946" s="16">
        <f>O946 * $S$3</f>
        <v>0.375</v>
      </c>
      <c r="Q946" s="16">
        <f>O946 * $S$4</f>
        <v>0.5</v>
      </c>
    </row>
    <row r="947" spans="1:17">
      <c r="A947" s="2">
        <v>946</v>
      </c>
      <c r="B947" s="4">
        <f t="shared" si="70"/>
        <v>8</v>
      </c>
      <c r="C947" s="4">
        <f t="shared" si="71"/>
        <v>5</v>
      </c>
      <c r="D947" s="4">
        <f t="shared" si="72"/>
        <v>2023</v>
      </c>
      <c r="E947" s="4" t="str">
        <f t="shared" si="73"/>
        <v>Mon</v>
      </c>
      <c r="F947" s="4" t="str">
        <f t="shared" si="74"/>
        <v>May</v>
      </c>
      <c r="G947" s="3">
        <v>45054</v>
      </c>
      <c r="H947" s="4" t="s">
        <v>1012</v>
      </c>
      <c r="I947" s="4" t="s">
        <v>4</v>
      </c>
      <c r="J947" s="4" t="str" cm="1">
        <f t="array" ref="J947">_xlfn.IFS(K947&gt;=50, "Senior", K947&gt;=30, "Adult", K947&lt;30,"Young Adult")</f>
        <v>Young Adult</v>
      </c>
      <c r="K947" s="4">
        <v>20</v>
      </c>
      <c r="L947" s="4" t="s">
        <v>8</v>
      </c>
      <c r="M947" s="4">
        <v>4</v>
      </c>
      <c r="N947" s="22">
        <v>500</v>
      </c>
      <c r="O947" s="24">
        <f>M947 * N947</f>
        <v>2000</v>
      </c>
      <c r="P947" s="16">
        <f>O947 * $S$3</f>
        <v>30</v>
      </c>
      <c r="Q947" s="16">
        <f>O947 * $S$4</f>
        <v>40</v>
      </c>
    </row>
    <row r="948" spans="1:17">
      <c r="A948" s="2">
        <v>947</v>
      </c>
      <c r="B948" s="4">
        <f t="shared" si="70"/>
        <v>2</v>
      </c>
      <c r="C948" s="4">
        <f t="shared" si="71"/>
        <v>3</v>
      </c>
      <c r="D948" s="4">
        <f t="shared" si="72"/>
        <v>2023</v>
      </c>
      <c r="E948" s="4" t="str">
        <f t="shared" si="73"/>
        <v>Thu</v>
      </c>
      <c r="F948" s="4" t="str">
        <f t="shared" si="74"/>
        <v>Mar</v>
      </c>
      <c r="G948" s="3">
        <v>44987</v>
      </c>
      <c r="H948" s="4" t="s">
        <v>1013</v>
      </c>
      <c r="I948" s="4" t="s">
        <v>4</v>
      </c>
      <c r="J948" s="4" t="str" cm="1">
        <f t="array" ref="J948">_xlfn.IFS(K948&gt;=50, "Senior", K948&gt;=30, "Adult", K948&lt;30,"Young Adult")</f>
        <v>Young Adult</v>
      </c>
      <c r="K948" s="4">
        <v>20</v>
      </c>
      <c r="L948" s="4" t="s">
        <v>6</v>
      </c>
      <c r="M948" s="4">
        <v>1</v>
      </c>
      <c r="N948" s="22">
        <v>300</v>
      </c>
      <c r="O948" s="24">
        <f>M948 * N948</f>
        <v>300</v>
      </c>
      <c r="P948" s="16">
        <f>O948 * $S$3</f>
        <v>4.5</v>
      </c>
      <c r="Q948" s="16">
        <f>O948 * $S$4</f>
        <v>6</v>
      </c>
    </row>
    <row r="949" spans="1:17">
      <c r="A949" s="2">
        <v>948</v>
      </c>
      <c r="B949" s="4">
        <f t="shared" si="70"/>
        <v>13</v>
      </c>
      <c r="C949" s="4">
        <f t="shared" si="71"/>
        <v>10</v>
      </c>
      <c r="D949" s="4">
        <f t="shared" si="72"/>
        <v>2023</v>
      </c>
      <c r="E949" s="4" t="str">
        <f t="shared" si="73"/>
        <v>Fri</v>
      </c>
      <c r="F949" s="4" t="str">
        <f t="shared" si="74"/>
        <v>Oct</v>
      </c>
      <c r="G949" s="3">
        <v>45212</v>
      </c>
      <c r="H949" s="4" t="s">
        <v>1014</v>
      </c>
      <c r="I949" s="4" t="s">
        <v>3</v>
      </c>
      <c r="J949" s="4" t="str" cm="1">
        <f t="array" ref="J949">_xlfn.IFS(K949&gt;=50, "Senior", K949&gt;=30, "Adult", K949&lt;30,"Young Adult")</f>
        <v>Young Adult</v>
      </c>
      <c r="K949" s="4">
        <v>20</v>
      </c>
      <c r="L949" s="4" t="s">
        <v>8</v>
      </c>
      <c r="M949" s="4">
        <v>3</v>
      </c>
      <c r="N949" s="22">
        <v>25</v>
      </c>
      <c r="O949" s="24">
        <f>M949 * N949</f>
        <v>75</v>
      </c>
      <c r="P949" s="16">
        <f>O949 * $S$3</f>
        <v>1.125</v>
      </c>
      <c r="Q949" s="16">
        <f>O949 * $S$4</f>
        <v>1.5</v>
      </c>
    </row>
    <row r="950" spans="1:17">
      <c r="A950" s="2">
        <v>949</v>
      </c>
      <c r="B950" s="4">
        <f t="shared" si="70"/>
        <v>2</v>
      </c>
      <c r="C950" s="4">
        <f t="shared" si="71"/>
        <v>8</v>
      </c>
      <c r="D950" s="4">
        <f t="shared" si="72"/>
        <v>2023</v>
      </c>
      <c r="E950" s="4" t="str">
        <f t="shared" si="73"/>
        <v>Wed</v>
      </c>
      <c r="F950" s="4" t="str">
        <f t="shared" si="74"/>
        <v>Aug</v>
      </c>
      <c r="G950" s="3">
        <v>45140</v>
      </c>
      <c r="H950" s="4" t="s">
        <v>1015</v>
      </c>
      <c r="I950" s="4" t="s">
        <v>3</v>
      </c>
      <c r="J950" s="4" t="str" cm="1">
        <f t="array" ref="J950">_xlfn.IFS(K950&gt;=50, "Senior", K950&gt;=30, "Adult", K950&lt;30,"Young Adult")</f>
        <v>Young Adult</v>
      </c>
      <c r="K950" s="4">
        <v>20</v>
      </c>
      <c r="L950" s="4" t="s">
        <v>8</v>
      </c>
      <c r="M950" s="4">
        <v>2</v>
      </c>
      <c r="N950" s="22">
        <v>25</v>
      </c>
      <c r="O950" s="24">
        <f>M950 * N950</f>
        <v>50</v>
      </c>
      <c r="P950" s="16">
        <f>O950 * $S$3</f>
        <v>0.75</v>
      </c>
      <c r="Q950" s="16">
        <f>O950 * $S$4</f>
        <v>1</v>
      </c>
    </row>
    <row r="951" spans="1:17">
      <c r="A951" s="2">
        <v>950</v>
      </c>
      <c r="B951" s="4">
        <f t="shared" si="70"/>
        <v>7</v>
      </c>
      <c r="C951" s="4">
        <f t="shared" si="71"/>
        <v>11</v>
      </c>
      <c r="D951" s="4">
        <f t="shared" si="72"/>
        <v>2023</v>
      </c>
      <c r="E951" s="4" t="str">
        <f t="shared" si="73"/>
        <v>Tue</v>
      </c>
      <c r="F951" s="4" t="str">
        <f t="shared" si="74"/>
        <v>Nov</v>
      </c>
      <c r="G951" s="3">
        <v>45237</v>
      </c>
      <c r="H951" s="4" t="s">
        <v>185</v>
      </c>
      <c r="I951" s="4" t="s">
        <v>4</v>
      </c>
      <c r="J951" s="4" t="str" cm="1">
        <f t="array" ref="J951">_xlfn.IFS(K951&gt;=50, "Senior", K951&gt;=30, "Adult", K951&lt;30,"Young Adult")</f>
        <v>Young Adult</v>
      </c>
      <c r="K951" s="4">
        <v>20</v>
      </c>
      <c r="L951" s="4" t="s">
        <v>7</v>
      </c>
      <c r="M951" s="4">
        <v>3</v>
      </c>
      <c r="N951" s="22">
        <v>300</v>
      </c>
      <c r="O951" s="24">
        <f>M951 * N951</f>
        <v>900</v>
      </c>
      <c r="P951" s="16">
        <f>O951 * $S$3</f>
        <v>13.5</v>
      </c>
      <c r="Q951" s="16">
        <f>O951 * $S$4</f>
        <v>18</v>
      </c>
    </row>
    <row r="952" spans="1:17">
      <c r="A952" s="2">
        <v>951</v>
      </c>
      <c r="B952" s="4">
        <f t="shared" si="70"/>
        <v>2</v>
      </c>
      <c r="C952" s="4">
        <f t="shared" si="71"/>
        <v>11</v>
      </c>
      <c r="D952" s="4">
        <f t="shared" si="72"/>
        <v>2023</v>
      </c>
      <c r="E952" s="4" t="str">
        <f t="shared" si="73"/>
        <v>Thu</v>
      </c>
      <c r="F952" s="4" t="str">
        <f t="shared" si="74"/>
        <v>Nov</v>
      </c>
      <c r="G952" s="3">
        <v>45232</v>
      </c>
      <c r="H952" s="4" t="s">
        <v>45</v>
      </c>
      <c r="I952" s="4" t="s">
        <v>4</v>
      </c>
      <c r="J952" s="4" t="str" cm="1">
        <f t="array" ref="J952">_xlfn.IFS(K952&gt;=50, "Senior", K952&gt;=30, "Adult", K952&lt;30,"Young Adult")</f>
        <v>Young Adult</v>
      </c>
      <c r="K952" s="4">
        <v>20</v>
      </c>
      <c r="L952" s="4" t="s">
        <v>6</v>
      </c>
      <c r="M952" s="4">
        <v>2</v>
      </c>
      <c r="N952" s="22">
        <v>50</v>
      </c>
      <c r="O952" s="24">
        <f>M952 * N952</f>
        <v>100</v>
      </c>
      <c r="P952" s="16">
        <f>O952 * $S$3</f>
        <v>1.5</v>
      </c>
      <c r="Q952" s="16">
        <f>O952 * $S$4</f>
        <v>2</v>
      </c>
    </row>
    <row r="953" spans="1:17">
      <c r="A953" s="2">
        <v>952</v>
      </c>
      <c r="B953" s="4">
        <f t="shared" si="70"/>
        <v>13</v>
      </c>
      <c r="C953" s="4">
        <f t="shared" si="71"/>
        <v>11</v>
      </c>
      <c r="D953" s="4">
        <f t="shared" si="72"/>
        <v>2023</v>
      </c>
      <c r="E953" s="4" t="str">
        <f t="shared" si="73"/>
        <v>Mon</v>
      </c>
      <c r="F953" s="4" t="str">
        <f t="shared" si="74"/>
        <v>Nov</v>
      </c>
      <c r="G953" s="3">
        <v>45243</v>
      </c>
      <c r="H953" s="4" t="s">
        <v>1016</v>
      </c>
      <c r="I953" s="4" t="s">
        <v>3</v>
      </c>
      <c r="J953" s="4" t="str" cm="1">
        <f t="array" ref="J953">_xlfn.IFS(K953&gt;=50, "Senior", K953&gt;=30, "Adult", K953&lt;30,"Young Adult")</f>
        <v>Young Adult</v>
      </c>
      <c r="K953" s="4">
        <v>20</v>
      </c>
      <c r="L953" s="4" t="s">
        <v>7</v>
      </c>
      <c r="M953" s="4">
        <v>1</v>
      </c>
      <c r="N953" s="22">
        <v>25</v>
      </c>
      <c r="O953" s="24">
        <f>M953 * N953</f>
        <v>25</v>
      </c>
      <c r="P953" s="16">
        <f>O953 * $S$3</f>
        <v>0.375</v>
      </c>
      <c r="Q953" s="16">
        <f>O953 * $S$4</f>
        <v>0.5</v>
      </c>
    </row>
    <row r="954" spans="1:17">
      <c r="A954" s="2">
        <v>953</v>
      </c>
      <c r="B954" s="4">
        <f t="shared" si="70"/>
        <v>26</v>
      </c>
      <c r="C954" s="4">
        <f t="shared" si="71"/>
        <v>4</v>
      </c>
      <c r="D954" s="4">
        <f t="shared" si="72"/>
        <v>2023</v>
      </c>
      <c r="E954" s="4" t="str">
        <f t="shared" si="73"/>
        <v>Wed</v>
      </c>
      <c r="F954" s="4" t="str">
        <f t="shared" si="74"/>
        <v>Apr</v>
      </c>
      <c r="G954" s="3">
        <v>45042</v>
      </c>
      <c r="H954" s="4" t="s">
        <v>43</v>
      </c>
      <c r="I954" s="4" t="s">
        <v>4</v>
      </c>
      <c r="J954" s="4" t="str" cm="1">
        <f t="array" ref="J954">_xlfn.IFS(K954&gt;=50, "Senior", K954&gt;=30, "Adult", K954&lt;30,"Young Adult")</f>
        <v>Young Adult</v>
      </c>
      <c r="K954" s="4">
        <v>20</v>
      </c>
      <c r="L954" s="4" t="s">
        <v>6</v>
      </c>
      <c r="M954" s="4">
        <v>3</v>
      </c>
      <c r="N954" s="22">
        <v>30</v>
      </c>
      <c r="O954" s="24">
        <f>M954 * N954</f>
        <v>90</v>
      </c>
      <c r="P954" s="16">
        <f>O954 * $S$3</f>
        <v>1.3499999999999999</v>
      </c>
      <c r="Q954" s="16">
        <f>O954 * $S$4</f>
        <v>1.8</v>
      </c>
    </row>
    <row r="955" spans="1:17">
      <c r="A955" s="2">
        <v>954</v>
      </c>
      <c r="B955" s="4">
        <f t="shared" si="70"/>
        <v>25</v>
      </c>
      <c r="C955" s="4">
        <f t="shared" si="71"/>
        <v>9</v>
      </c>
      <c r="D955" s="4">
        <f t="shared" si="72"/>
        <v>2023</v>
      </c>
      <c r="E955" s="4" t="str">
        <f t="shared" si="73"/>
        <v>Mon</v>
      </c>
      <c r="F955" s="4" t="str">
        <f t="shared" si="74"/>
        <v>Sep</v>
      </c>
      <c r="G955" s="3">
        <v>45194</v>
      </c>
      <c r="H955" s="4" t="s">
        <v>1017</v>
      </c>
      <c r="I955" s="4" t="s">
        <v>3</v>
      </c>
      <c r="J955" s="4" t="str" cm="1">
        <f t="array" ref="J955">_xlfn.IFS(K955&gt;=50, "Senior", K955&gt;=30, "Adult", K955&lt;30,"Young Adult")</f>
        <v>Young Adult</v>
      </c>
      <c r="K955" s="4">
        <v>20</v>
      </c>
      <c r="L955" s="4" t="s">
        <v>8</v>
      </c>
      <c r="M955" s="4">
        <v>3</v>
      </c>
      <c r="N955" s="22">
        <v>300</v>
      </c>
      <c r="O955" s="24">
        <f>M955 * N955</f>
        <v>900</v>
      </c>
      <c r="P955" s="16">
        <f>O955 * $S$3</f>
        <v>13.5</v>
      </c>
      <c r="Q955" s="16">
        <f>O955 * $S$4</f>
        <v>18</v>
      </c>
    </row>
    <row r="956" spans="1:17">
      <c r="A956" s="2">
        <v>955</v>
      </c>
      <c r="B956" s="4">
        <f t="shared" si="70"/>
        <v>14</v>
      </c>
      <c r="C956" s="4">
        <f t="shared" si="71"/>
        <v>7</v>
      </c>
      <c r="D956" s="4">
        <f t="shared" si="72"/>
        <v>2023</v>
      </c>
      <c r="E956" s="4" t="str">
        <f t="shared" si="73"/>
        <v>Fri</v>
      </c>
      <c r="F956" s="4" t="str">
        <f t="shared" si="74"/>
        <v>Jul</v>
      </c>
      <c r="G956" s="3">
        <v>45121</v>
      </c>
      <c r="H956" s="4" t="s">
        <v>1018</v>
      </c>
      <c r="I956" s="4" t="s">
        <v>4</v>
      </c>
      <c r="J956" s="4" t="str" cm="1">
        <f t="array" ref="J956">_xlfn.IFS(K956&gt;=50, "Senior", K956&gt;=30, "Adult", K956&lt;30,"Young Adult")</f>
        <v>Young Adult</v>
      </c>
      <c r="K956" s="4">
        <v>20</v>
      </c>
      <c r="L956" s="4" t="s">
        <v>7</v>
      </c>
      <c r="M956" s="4">
        <v>1</v>
      </c>
      <c r="N956" s="22">
        <v>25</v>
      </c>
      <c r="O956" s="24">
        <f>M956 * N956</f>
        <v>25</v>
      </c>
      <c r="P956" s="16">
        <f>O956 * $S$3</f>
        <v>0.375</v>
      </c>
      <c r="Q956" s="16">
        <f>O956 * $S$4</f>
        <v>0.5</v>
      </c>
    </row>
    <row r="957" spans="1:17">
      <c r="A957" s="2">
        <v>956</v>
      </c>
      <c r="B957" s="4">
        <f t="shared" si="70"/>
        <v>19</v>
      </c>
      <c r="C957" s="4">
        <f t="shared" si="71"/>
        <v>8</v>
      </c>
      <c r="D957" s="4">
        <f t="shared" si="72"/>
        <v>2023</v>
      </c>
      <c r="E957" s="4" t="str">
        <f t="shared" si="73"/>
        <v>Sat</v>
      </c>
      <c r="F957" s="4" t="str">
        <f t="shared" si="74"/>
        <v>Aug</v>
      </c>
      <c r="G957" s="3">
        <v>45157</v>
      </c>
      <c r="H957" s="4" t="s">
        <v>184</v>
      </c>
      <c r="I957" s="4" t="s">
        <v>4</v>
      </c>
      <c r="J957" s="4" t="str" cm="1">
        <f t="array" ref="J957">_xlfn.IFS(K957&gt;=50, "Senior", K957&gt;=30, "Adult", K957&lt;30,"Young Adult")</f>
        <v>Young Adult</v>
      </c>
      <c r="K957" s="4">
        <v>20</v>
      </c>
      <c r="L957" s="4" t="s">
        <v>7</v>
      </c>
      <c r="M957" s="4">
        <v>3</v>
      </c>
      <c r="N957" s="22">
        <v>500</v>
      </c>
      <c r="O957" s="24">
        <f>M957 * N957</f>
        <v>1500</v>
      </c>
      <c r="P957" s="16">
        <f>O957 * $S$3</f>
        <v>22.5</v>
      </c>
      <c r="Q957" s="16">
        <f>O957 * $S$4</f>
        <v>30</v>
      </c>
    </row>
    <row r="958" spans="1:17">
      <c r="A958" s="2">
        <v>957</v>
      </c>
      <c r="B958" s="4">
        <f t="shared" si="70"/>
        <v>15</v>
      </c>
      <c r="C958" s="4">
        <f t="shared" si="71"/>
        <v>8</v>
      </c>
      <c r="D958" s="4">
        <f t="shared" si="72"/>
        <v>2023</v>
      </c>
      <c r="E958" s="4" t="str">
        <f t="shared" si="73"/>
        <v>Tue</v>
      </c>
      <c r="F958" s="4" t="str">
        <f t="shared" si="74"/>
        <v>Aug</v>
      </c>
      <c r="G958" s="3">
        <v>45153</v>
      </c>
      <c r="H958" s="4" t="s">
        <v>1019</v>
      </c>
      <c r="I958" s="4" t="s">
        <v>3</v>
      </c>
      <c r="J958" s="4" t="str" cm="1">
        <f t="array" ref="J958">_xlfn.IFS(K958&gt;=50, "Senior", K958&gt;=30, "Adult", K958&lt;30,"Young Adult")</f>
        <v>Young Adult</v>
      </c>
      <c r="K958" s="4">
        <v>20</v>
      </c>
      <c r="L958" s="4" t="s">
        <v>8</v>
      </c>
      <c r="M958" s="4">
        <v>4</v>
      </c>
      <c r="N958" s="22">
        <v>30</v>
      </c>
      <c r="O958" s="24">
        <f>M958 * N958</f>
        <v>120</v>
      </c>
      <c r="P958" s="16">
        <f>O958 * $S$3</f>
        <v>1.7999999999999998</v>
      </c>
      <c r="Q958" s="16">
        <f>O958 * $S$4</f>
        <v>2.4</v>
      </c>
    </row>
    <row r="959" spans="1:17">
      <c r="A959" s="2">
        <v>958</v>
      </c>
      <c r="B959" s="4">
        <f t="shared" si="70"/>
        <v>2</v>
      </c>
      <c r="C959" s="4">
        <f t="shared" si="71"/>
        <v>6</v>
      </c>
      <c r="D959" s="4">
        <f t="shared" si="72"/>
        <v>2023</v>
      </c>
      <c r="E959" s="4" t="str">
        <f t="shared" si="73"/>
        <v>Fri</v>
      </c>
      <c r="F959" s="4" t="str">
        <f t="shared" si="74"/>
        <v>Jun</v>
      </c>
      <c r="G959" s="3">
        <v>45079</v>
      </c>
      <c r="H959" s="4" t="s">
        <v>1020</v>
      </c>
      <c r="I959" s="4" t="s">
        <v>4</v>
      </c>
      <c r="J959" s="4" t="str" cm="1">
        <f t="array" ref="J959">_xlfn.IFS(K959&gt;=50, "Senior", K959&gt;=30, "Adult", K959&lt;30,"Young Adult")</f>
        <v>Young Adult</v>
      </c>
      <c r="K959" s="4">
        <v>20</v>
      </c>
      <c r="L959" s="4" t="s">
        <v>8</v>
      </c>
      <c r="M959" s="4">
        <v>2</v>
      </c>
      <c r="N959" s="22">
        <v>25</v>
      </c>
      <c r="O959" s="24">
        <f>M959 * N959</f>
        <v>50</v>
      </c>
      <c r="P959" s="16">
        <f>O959 * $S$3</f>
        <v>0.75</v>
      </c>
      <c r="Q959" s="16">
        <f>O959 * $S$4</f>
        <v>1</v>
      </c>
    </row>
    <row r="960" spans="1:17">
      <c r="A960" s="2">
        <v>959</v>
      </c>
      <c r="B960" s="4">
        <f t="shared" si="70"/>
        <v>29</v>
      </c>
      <c r="C960" s="4">
        <f t="shared" si="71"/>
        <v>10</v>
      </c>
      <c r="D960" s="4">
        <f t="shared" si="72"/>
        <v>2023</v>
      </c>
      <c r="E960" s="4" t="str">
        <f t="shared" si="73"/>
        <v>Sun</v>
      </c>
      <c r="F960" s="4" t="str">
        <f t="shared" si="74"/>
        <v>Oct</v>
      </c>
      <c r="G960" s="3">
        <v>45228</v>
      </c>
      <c r="H960" s="4" t="s">
        <v>1021</v>
      </c>
      <c r="I960" s="4" t="s">
        <v>3</v>
      </c>
      <c r="J960" s="4" t="str" cm="1">
        <f t="array" ref="J960">_xlfn.IFS(K960&gt;=50, "Senior", K960&gt;=30, "Adult", K960&lt;30,"Young Adult")</f>
        <v>Young Adult</v>
      </c>
      <c r="K960" s="4">
        <v>19</v>
      </c>
      <c r="L960" s="4" t="s">
        <v>8</v>
      </c>
      <c r="M960" s="4">
        <v>2</v>
      </c>
      <c r="N960" s="22">
        <v>30</v>
      </c>
      <c r="O960" s="24">
        <f>M960 * N960</f>
        <v>60</v>
      </c>
      <c r="P960" s="16">
        <f>O960 * $S$3</f>
        <v>0.89999999999999991</v>
      </c>
      <c r="Q960" s="16">
        <f>O960 * $S$4</f>
        <v>1.2</v>
      </c>
    </row>
    <row r="961" spans="1:17">
      <c r="A961" s="2">
        <v>960</v>
      </c>
      <c r="B961" s="4">
        <f t="shared" si="70"/>
        <v>8</v>
      </c>
      <c r="C961" s="4">
        <f t="shared" si="71"/>
        <v>8</v>
      </c>
      <c r="D961" s="4">
        <f t="shared" si="72"/>
        <v>2023</v>
      </c>
      <c r="E961" s="4" t="str">
        <f t="shared" si="73"/>
        <v>Tue</v>
      </c>
      <c r="F961" s="4" t="str">
        <f t="shared" si="74"/>
        <v>Aug</v>
      </c>
      <c r="G961" s="3">
        <v>45146</v>
      </c>
      <c r="H961" s="4" t="s">
        <v>1022</v>
      </c>
      <c r="I961" s="4" t="s">
        <v>4</v>
      </c>
      <c r="J961" s="4" t="str" cm="1">
        <f t="array" ref="J961">_xlfn.IFS(K961&gt;=50, "Senior", K961&gt;=30, "Adult", K961&lt;30,"Young Adult")</f>
        <v>Young Adult</v>
      </c>
      <c r="K961" s="4">
        <v>19</v>
      </c>
      <c r="L961" s="4" t="s">
        <v>7</v>
      </c>
      <c r="M961" s="4">
        <v>2</v>
      </c>
      <c r="N961" s="22">
        <v>30</v>
      </c>
      <c r="O961" s="24">
        <f>M961 * N961</f>
        <v>60</v>
      </c>
      <c r="P961" s="16">
        <f>O961 * $S$3</f>
        <v>0.89999999999999991</v>
      </c>
      <c r="Q961" s="16">
        <f>O961 * $S$4</f>
        <v>1.2</v>
      </c>
    </row>
    <row r="962" spans="1:17">
      <c r="A962" s="2">
        <v>961</v>
      </c>
      <c r="B962" s="4">
        <f t="shared" si="70"/>
        <v>6</v>
      </c>
      <c r="C962" s="4">
        <f t="shared" si="71"/>
        <v>6</v>
      </c>
      <c r="D962" s="4">
        <f t="shared" si="72"/>
        <v>2023</v>
      </c>
      <c r="E962" s="4" t="str">
        <f t="shared" si="73"/>
        <v>Tue</v>
      </c>
      <c r="F962" s="4" t="str">
        <f t="shared" si="74"/>
        <v>Jun</v>
      </c>
      <c r="G962" s="3">
        <v>45083</v>
      </c>
      <c r="H962" s="4" t="s">
        <v>1023</v>
      </c>
      <c r="I962" s="4" t="s">
        <v>4</v>
      </c>
      <c r="J962" s="4" t="str" cm="1">
        <f t="array" ref="J962">_xlfn.IFS(K962&gt;=50, "Senior", K962&gt;=30, "Adult", K962&lt;30,"Young Adult")</f>
        <v>Young Adult</v>
      </c>
      <c r="K962" s="4">
        <v>19</v>
      </c>
      <c r="L962" s="4" t="s">
        <v>6</v>
      </c>
      <c r="M962" s="4">
        <v>4</v>
      </c>
      <c r="N962" s="22">
        <v>50</v>
      </c>
      <c r="O962" s="24">
        <f>M962 * N962</f>
        <v>200</v>
      </c>
      <c r="P962" s="16">
        <f>O962 * $S$3</f>
        <v>3</v>
      </c>
      <c r="Q962" s="16">
        <f>O962 * $S$4</f>
        <v>4</v>
      </c>
    </row>
    <row r="963" spans="1:17">
      <c r="A963" s="2">
        <v>962</v>
      </c>
      <c r="B963" s="4">
        <f t="shared" ref="B963:B1001" si="75">DAY(G963)</f>
        <v>19</v>
      </c>
      <c r="C963" s="4">
        <f t="shared" ref="C963:C1001" si="76">MONTH(G963)</f>
        <v>10</v>
      </c>
      <c r="D963" s="4">
        <f t="shared" ref="D963:D1001" si="77">YEAR(G963)</f>
        <v>2023</v>
      </c>
      <c r="E963" s="4" t="str">
        <f t="shared" ref="E963:E1001" si="78">TEXT(G963,"DDD")</f>
        <v>Thu</v>
      </c>
      <c r="F963" s="4" t="str">
        <f t="shared" ref="F963:F1001" si="79">TEXT(G963,"MMM")</f>
        <v>Oct</v>
      </c>
      <c r="G963" s="3">
        <v>45218</v>
      </c>
      <c r="H963" s="4" t="s">
        <v>183</v>
      </c>
      <c r="I963" s="4" t="s">
        <v>4</v>
      </c>
      <c r="J963" s="4" t="str" cm="1">
        <f t="array" ref="J963">_xlfn.IFS(K963&gt;=50, "Senior", K963&gt;=30, "Adult", K963&lt;30,"Young Adult")</f>
        <v>Young Adult</v>
      </c>
      <c r="K963" s="4">
        <v>19</v>
      </c>
      <c r="L963" s="4" t="s">
        <v>7</v>
      </c>
      <c r="M963" s="4">
        <v>2</v>
      </c>
      <c r="N963" s="22">
        <v>30</v>
      </c>
      <c r="O963" s="24">
        <f>M963 * N963</f>
        <v>60</v>
      </c>
      <c r="P963" s="16">
        <f>O963 * $S$3</f>
        <v>0.89999999999999991</v>
      </c>
      <c r="Q963" s="16">
        <f>O963 * $S$4</f>
        <v>1.2</v>
      </c>
    </row>
    <row r="964" spans="1:17">
      <c r="A964" s="2">
        <v>963</v>
      </c>
      <c r="B964" s="4">
        <f t="shared" si="75"/>
        <v>14</v>
      </c>
      <c r="C964" s="4">
        <f t="shared" si="76"/>
        <v>11</v>
      </c>
      <c r="D964" s="4">
        <f t="shared" si="77"/>
        <v>2023</v>
      </c>
      <c r="E964" s="4" t="str">
        <f t="shared" si="78"/>
        <v>Tue</v>
      </c>
      <c r="F964" s="4" t="str">
        <f t="shared" si="79"/>
        <v>Nov</v>
      </c>
      <c r="G964" s="3">
        <v>45244</v>
      </c>
      <c r="H964" s="4" t="s">
        <v>1024</v>
      </c>
      <c r="I964" s="4" t="s">
        <v>3</v>
      </c>
      <c r="J964" s="4" t="str" cm="1">
        <f t="array" ref="J964">_xlfn.IFS(K964&gt;=50, "Senior", K964&gt;=30, "Adult", K964&lt;30,"Young Adult")</f>
        <v>Young Adult</v>
      </c>
      <c r="K964" s="4">
        <v>19</v>
      </c>
      <c r="L964" s="4" t="s">
        <v>6</v>
      </c>
      <c r="M964" s="4">
        <v>1</v>
      </c>
      <c r="N964" s="22">
        <v>50</v>
      </c>
      <c r="O964" s="24">
        <f>M964 * N964</f>
        <v>50</v>
      </c>
      <c r="P964" s="16">
        <f>O964 * $S$3</f>
        <v>0.75</v>
      </c>
      <c r="Q964" s="16">
        <f>O964 * $S$4</f>
        <v>1</v>
      </c>
    </row>
    <row r="965" spans="1:17">
      <c r="A965" s="2">
        <v>964</v>
      </c>
      <c r="B965" s="4">
        <f t="shared" si="75"/>
        <v>31</v>
      </c>
      <c r="C965" s="4">
        <f t="shared" si="76"/>
        <v>1</v>
      </c>
      <c r="D965" s="4">
        <f t="shared" si="77"/>
        <v>2023</v>
      </c>
      <c r="E965" s="4" t="str">
        <f t="shared" si="78"/>
        <v>Tue</v>
      </c>
      <c r="F965" s="4" t="str">
        <f t="shared" si="79"/>
        <v>Jan</v>
      </c>
      <c r="G965" s="3">
        <v>44957</v>
      </c>
      <c r="H965" s="4" t="s">
        <v>1025</v>
      </c>
      <c r="I965" s="4" t="s">
        <v>4</v>
      </c>
      <c r="J965" s="4" t="str" cm="1">
        <f t="array" ref="J965">_xlfn.IFS(K965&gt;=50, "Senior", K965&gt;=30, "Adult", K965&lt;30,"Young Adult")</f>
        <v>Young Adult</v>
      </c>
      <c r="K965" s="4">
        <v>19</v>
      </c>
      <c r="L965" s="4" t="s">
        <v>7</v>
      </c>
      <c r="M965" s="4">
        <v>3</v>
      </c>
      <c r="N965" s="22">
        <v>300</v>
      </c>
      <c r="O965" s="24">
        <f>M965 * N965</f>
        <v>900</v>
      </c>
      <c r="P965" s="16">
        <f>O965 * $S$3</f>
        <v>13.5</v>
      </c>
      <c r="Q965" s="16">
        <f>O965 * $S$4</f>
        <v>18</v>
      </c>
    </row>
    <row r="966" spans="1:17">
      <c r="A966" s="2">
        <v>965</v>
      </c>
      <c r="B966" s="4">
        <f t="shared" si="75"/>
        <v>9</v>
      </c>
      <c r="C966" s="4">
        <f t="shared" si="76"/>
        <v>11</v>
      </c>
      <c r="D966" s="4">
        <f t="shared" si="77"/>
        <v>2023</v>
      </c>
      <c r="E966" s="4" t="str">
        <f t="shared" si="78"/>
        <v>Thu</v>
      </c>
      <c r="F966" s="4" t="str">
        <f t="shared" si="79"/>
        <v>Nov</v>
      </c>
      <c r="G966" s="3">
        <v>45239</v>
      </c>
      <c r="H966" s="4" t="s">
        <v>1026</v>
      </c>
      <c r="I966" s="4" t="s">
        <v>4</v>
      </c>
      <c r="J966" s="4" t="str" cm="1">
        <f t="array" ref="J966">_xlfn.IFS(K966&gt;=50, "Senior", K966&gt;=30, "Adult", K966&lt;30,"Young Adult")</f>
        <v>Young Adult</v>
      </c>
      <c r="K966" s="4">
        <v>19</v>
      </c>
      <c r="L966" s="4" t="s">
        <v>7</v>
      </c>
      <c r="M966" s="4">
        <v>4</v>
      </c>
      <c r="N966" s="22">
        <v>50</v>
      </c>
      <c r="O966" s="24">
        <f>M966 * N966</f>
        <v>200</v>
      </c>
      <c r="P966" s="16">
        <f>O966 * $S$3</f>
        <v>3</v>
      </c>
      <c r="Q966" s="16">
        <f>O966 * $S$4</f>
        <v>4</v>
      </c>
    </row>
    <row r="967" spans="1:17">
      <c r="A967" s="2">
        <v>966</v>
      </c>
      <c r="B967" s="4">
        <f t="shared" si="75"/>
        <v>20</v>
      </c>
      <c r="C967" s="4">
        <f t="shared" si="76"/>
        <v>2</v>
      </c>
      <c r="D967" s="4">
        <f t="shared" si="77"/>
        <v>2023</v>
      </c>
      <c r="E967" s="4" t="str">
        <f t="shared" si="78"/>
        <v>Mon</v>
      </c>
      <c r="F967" s="4" t="str">
        <f t="shared" si="79"/>
        <v>Feb</v>
      </c>
      <c r="G967" s="3">
        <v>44977</v>
      </c>
      <c r="H967" s="4" t="s">
        <v>1027</v>
      </c>
      <c r="I967" s="4" t="s">
        <v>4</v>
      </c>
      <c r="J967" s="4" t="str" cm="1">
        <f t="array" ref="J967">_xlfn.IFS(K967&gt;=50, "Senior", K967&gt;=30, "Adult", K967&lt;30,"Young Adult")</f>
        <v>Young Adult</v>
      </c>
      <c r="K967" s="4">
        <v>19</v>
      </c>
      <c r="L967" s="4" t="s">
        <v>8</v>
      </c>
      <c r="M967" s="4">
        <v>2</v>
      </c>
      <c r="N967" s="22">
        <v>500</v>
      </c>
      <c r="O967" s="24">
        <f>M967 * N967</f>
        <v>1000</v>
      </c>
      <c r="P967" s="16">
        <f>O967 * $S$3</f>
        <v>15</v>
      </c>
      <c r="Q967" s="16">
        <f>O967 * $S$4</f>
        <v>20</v>
      </c>
    </row>
    <row r="968" spans="1:17">
      <c r="A968" s="2">
        <v>967</v>
      </c>
      <c r="B968" s="4">
        <f t="shared" si="75"/>
        <v>17</v>
      </c>
      <c r="C968" s="4">
        <f t="shared" si="76"/>
        <v>4</v>
      </c>
      <c r="D968" s="4">
        <f t="shared" si="77"/>
        <v>2023</v>
      </c>
      <c r="E968" s="4" t="str">
        <f t="shared" si="78"/>
        <v>Mon</v>
      </c>
      <c r="F968" s="4" t="str">
        <f t="shared" si="79"/>
        <v>Apr</v>
      </c>
      <c r="G968" s="3">
        <v>45033</v>
      </c>
      <c r="H968" s="4" t="s">
        <v>1028</v>
      </c>
      <c r="I968" s="4" t="s">
        <v>4</v>
      </c>
      <c r="J968" s="4" t="str" cm="1">
        <f t="array" ref="J968">_xlfn.IFS(K968&gt;=50, "Senior", K968&gt;=30, "Adult", K968&lt;30,"Young Adult")</f>
        <v>Young Adult</v>
      </c>
      <c r="K968" s="4">
        <v>19</v>
      </c>
      <c r="L968" s="4" t="s">
        <v>6</v>
      </c>
      <c r="M968" s="4">
        <v>1</v>
      </c>
      <c r="N968" s="22">
        <v>25</v>
      </c>
      <c r="O968" s="24">
        <f>M968 * N968</f>
        <v>25</v>
      </c>
      <c r="P968" s="16">
        <f>O968 * $S$3</f>
        <v>0.375</v>
      </c>
      <c r="Q968" s="16">
        <f>O968 * $S$4</f>
        <v>0.5</v>
      </c>
    </row>
    <row r="969" spans="1:17">
      <c r="A969" s="2">
        <v>968</v>
      </c>
      <c r="B969" s="4">
        <f t="shared" si="75"/>
        <v>17</v>
      </c>
      <c r="C969" s="4">
        <f t="shared" si="76"/>
        <v>11</v>
      </c>
      <c r="D969" s="4">
        <f t="shared" si="77"/>
        <v>2023</v>
      </c>
      <c r="E969" s="4" t="str">
        <f t="shared" si="78"/>
        <v>Fri</v>
      </c>
      <c r="F969" s="4" t="str">
        <f t="shared" si="79"/>
        <v>Nov</v>
      </c>
      <c r="G969" s="3">
        <v>45247</v>
      </c>
      <c r="H969" s="4" t="s">
        <v>182</v>
      </c>
      <c r="I969" s="4" t="s">
        <v>3</v>
      </c>
      <c r="J969" s="4" t="str" cm="1">
        <f t="array" ref="J969">_xlfn.IFS(K969&gt;=50, "Senior", K969&gt;=30, "Adult", K969&lt;30,"Young Adult")</f>
        <v>Young Adult</v>
      </c>
      <c r="K969" s="4">
        <v>19</v>
      </c>
      <c r="L969" s="4" t="s">
        <v>7</v>
      </c>
      <c r="M969" s="4">
        <v>3</v>
      </c>
      <c r="N969" s="22">
        <v>300</v>
      </c>
      <c r="O969" s="24">
        <f>M969 * N969</f>
        <v>900</v>
      </c>
      <c r="P969" s="16">
        <f>O969 * $S$3</f>
        <v>13.5</v>
      </c>
      <c r="Q969" s="16">
        <f>O969 * $S$4</f>
        <v>18</v>
      </c>
    </row>
    <row r="970" spans="1:17">
      <c r="A970" s="2">
        <v>969</v>
      </c>
      <c r="B970" s="4">
        <f t="shared" si="75"/>
        <v>19</v>
      </c>
      <c r="C970" s="4">
        <f t="shared" si="76"/>
        <v>4</v>
      </c>
      <c r="D970" s="4">
        <f t="shared" si="77"/>
        <v>2023</v>
      </c>
      <c r="E970" s="4" t="str">
        <f t="shared" si="78"/>
        <v>Wed</v>
      </c>
      <c r="F970" s="4" t="str">
        <f t="shared" si="79"/>
        <v>Apr</v>
      </c>
      <c r="G970" s="3">
        <v>45035</v>
      </c>
      <c r="H970" s="4" t="s">
        <v>180</v>
      </c>
      <c r="I970" s="4" t="s">
        <v>3</v>
      </c>
      <c r="J970" s="4" t="str" cm="1">
        <f t="array" ref="J970">_xlfn.IFS(K970&gt;=50, "Senior", K970&gt;=30, "Adult", K970&lt;30,"Young Adult")</f>
        <v>Young Adult</v>
      </c>
      <c r="K970" s="4">
        <v>19</v>
      </c>
      <c r="L970" s="4" t="s">
        <v>7</v>
      </c>
      <c r="M970" s="4">
        <v>3</v>
      </c>
      <c r="N970" s="22">
        <v>300</v>
      </c>
      <c r="O970" s="24">
        <f>M970 * N970</f>
        <v>900</v>
      </c>
      <c r="P970" s="16">
        <f>O970 * $S$3</f>
        <v>13.5</v>
      </c>
      <c r="Q970" s="16">
        <f>O970 * $S$4</f>
        <v>18</v>
      </c>
    </row>
    <row r="971" spans="1:17">
      <c r="A971" s="2">
        <v>970</v>
      </c>
      <c r="B971" s="4">
        <f t="shared" si="75"/>
        <v>16</v>
      </c>
      <c r="C971" s="4">
        <f t="shared" si="76"/>
        <v>5</v>
      </c>
      <c r="D971" s="4">
        <f t="shared" si="77"/>
        <v>2023</v>
      </c>
      <c r="E971" s="4" t="str">
        <f t="shared" si="78"/>
        <v>Tue</v>
      </c>
      <c r="F971" s="4" t="str">
        <f t="shared" si="79"/>
        <v>May</v>
      </c>
      <c r="G971" s="3">
        <v>45062</v>
      </c>
      <c r="H971" s="4" t="s">
        <v>1029</v>
      </c>
      <c r="I971" s="4" t="s">
        <v>4</v>
      </c>
      <c r="J971" s="4" t="str" cm="1">
        <f t="array" ref="J971">_xlfn.IFS(K971&gt;=50, "Senior", K971&gt;=30, "Adult", K971&lt;30,"Young Adult")</f>
        <v>Young Adult</v>
      </c>
      <c r="K971" s="4">
        <v>19</v>
      </c>
      <c r="L971" s="4" t="s">
        <v>8</v>
      </c>
      <c r="M971" s="4">
        <v>4</v>
      </c>
      <c r="N971" s="22">
        <v>500</v>
      </c>
      <c r="O971" s="24">
        <f>M971 * N971</f>
        <v>2000</v>
      </c>
      <c r="P971" s="16">
        <f>O971 * $S$3</f>
        <v>30</v>
      </c>
      <c r="Q971" s="16">
        <f>O971 * $S$4</f>
        <v>40</v>
      </c>
    </row>
    <row r="972" spans="1:17">
      <c r="A972" s="2">
        <v>971</v>
      </c>
      <c r="B972" s="4">
        <f t="shared" si="75"/>
        <v>5</v>
      </c>
      <c r="C972" s="4">
        <f t="shared" si="76"/>
        <v>12</v>
      </c>
      <c r="D972" s="4">
        <f t="shared" si="77"/>
        <v>2023</v>
      </c>
      <c r="E972" s="4" t="str">
        <f t="shared" si="78"/>
        <v>Tue</v>
      </c>
      <c r="F972" s="4" t="str">
        <f t="shared" si="79"/>
        <v>Dec</v>
      </c>
      <c r="G972" s="3">
        <v>45265</v>
      </c>
      <c r="H972" s="4" t="s">
        <v>1030</v>
      </c>
      <c r="I972" s="4" t="s">
        <v>3</v>
      </c>
      <c r="J972" s="4" t="str" cm="1">
        <f t="array" ref="J972">_xlfn.IFS(K972&gt;=50, "Senior", K972&gt;=30, "Adult", K972&lt;30,"Young Adult")</f>
        <v>Young Adult</v>
      </c>
      <c r="K972" s="4">
        <v>19</v>
      </c>
      <c r="L972" s="4" t="s">
        <v>8</v>
      </c>
      <c r="M972" s="4">
        <v>4</v>
      </c>
      <c r="N972" s="22">
        <v>50</v>
      </c>
      <c r="O972" s="24">
        <f>M972 * N972</f>
        <v>200</v>
      </c>
      <c r="P972" s="16">
        <f>O972 * $S$3</f>
        <v>3</v>
      </c>
      <c r="Q972" s="16">
        <f>O972 * $S$4</f>
        <v>4</v>
      </c>
    </row>
    <row r="973" spans="1:17">
      <c r="A973" s="2">
        <v>972</v>
      </c>
      <c r="B973" s="4">
        <f t="shared" si="75"/>
        <v>11</v>
      </c>
      <c r="C973" s="4">
        <f t="shared" si="76"/>
        <v>2</v>
      </c>
      <c r="D973" s="4">
        <f t="shared" si="77"/>
        <v>2023</v>
      </c>
      <c r="E973" s="4" t="str">
        <f t="shared" si="78"/>
        <v>Sat</v>
      </c>
      <c r="F973" s="4" t="str">
        <f t="shared" si="79"/>
        <v>Feb</v>
      </c>
      <c r="G973" s="3">
        <v>44968</v>
      </c>
      <c r="H973" s="4" t="s">
        <v>42</v>
      </c>
      <c r="I973" s="4" t="s">
        <v>4</v>
      </c>
      <c r="J973" s="4" t="str" cm="1">
        <f t="array" ref="J973">_xlfn.IFS(K973&gt;=50, "Senior", K973&gt;=30, "Adult", K973&lt;30,"Young Adult")</f>
        <v>Young Adult</v>
      </c>
      <c r="K973" s="4">
        <v>19</v>
      </c>
      <c r="L973" s="4" t="s">
        <v>6</v>
      </c>
      <c r="M973" s="4">
        <v>4</v>
      </c>
      <c r="N973" s="22">
        <v>25</v>
      </c>
      <c r="O973" s="24">
        <f>M973 * N973</f>
        <v>100</v>
      </c>
      <c r="P973" s="16">
        <f>O973 * $S$3</f>
        <v>1.5</v>
      </c>
      <c r="Q973" s="16">
        <f>O973 * $S$4</f>
        <v>2</v>
      </c>
    </row>
    <row r="974" spans="1:17">
      <c r="A974" s="2">
        <v>973</v>
      </c>
      <c r="B974" s="4">
        <f t="shared" si="75"/>
        <v>22</v>
      </c>
      <c r="C974" s="4">
        <f t="shared" si="76"/>
        <v>3</v>
      </c>
      <c r="D974" s="4">
        <f t="shared" si="77"/>
        <v>2023</v>
      </c>
      <c r="E974" s="4" t="str">
        <f t="shared" si="78"/>
        <v>Wed</v>
      </c>
      <c r="F974" s="4" t="str">
        <f t="shared" si="79"/>
        <v>Mar</v>
      </c>
      <c r="G974" s="3">
        <v>45007</v>
      </c>
      <c r="H974" s="4" t="s">
        <v>1031</v>
      </c>
      <c r="I974" s="4" t="s">
        <v>4</v>
      </c>
      <c r="J974" s="4" t="str" cm="1">
        <f t="array" ref="J974">_xlfn.IFS(K974&gt;=50, "Senior", K974&gt;=30, "Adult", K974&lt;30,"Young Adult")</f>
        <v>Young Adult</v>
      </c>
      <c r="K974" s="4">
        <v>19</v>
      </c>
      <c r="L974" s="4" t="s">
        <v>7</v>
      </c>
      <c r="M974" s="4">
        <v>1</v>
      </c>
      <c r="N974" s="22">
        <v>50</v>
      </c>
      <c r="O974" s="24">
        <f>M974 * N974</f>
        <v>50</v>
      </c>
      <c r="P974" s="16">
        <f>O974 * $S$3</f>
        <v>0.75</v>
      </c>
      <c r="Q974" s="16">
        <f>O974 * $S$4</f>
        <v>1</v>
      </c>
    </row>
    <row r="975" spans="1:17">
      <c r="A975" s="2">
        <v>974</v>
      </c>
      <c r="B975" s="4">
        <f t="shared" si="75"/>
        <v>3</v>
      </c>
      <c r="C975" s="4">
        <f t="shared" si="76"/>
        <v>5</v>
      </c>
      <c r="D975" s="4">
        <f t="shared" si="77"/>
        <v>2023</v>
      </c>
      <c r="E975" s="4" t="str">
        <f t="shared" si="78"/>
        <v>Wed</v>
      </c>
      <c r="F975" s="4" t="str">
        <f t="shared" si="79"/>
        <v>May</v>
      </c>
      <c r="G975" s="3">
        <v>45049</v>
      </c>
      <c r="H975" s="4" t="s">
        <v>36</v>
      </c>
      <c r="I975" s="4" t="s">
        <v>4</v>
      </c>
      <c r="J975" s="4" t="str" cm="1">
        <f t="array" ref="J975">_xlfn.IFS(K975&gt;=50, "Senior", K975&gt;=30, "Adult", K975&lt;30,"Young Adult")</f>
        <v>Young Adult</v>
      </c>
      <c r="K975" s="4">
        <v>19</v>
      </c>
      <c r="L975" s="4" t="s">
        <v>6</v>
      </c>
      <c r="M975" s="4">
        <v>1</v>
      </c>
      <c r="N975" s="22">
        <v>30</v>
      </c>
      <c r="O975" s="24">
        <f>M975 * N975</f>
        <v>30</v>
      </c>
      <c r="P975" s="16">
        <f>O975 * $S$3</f>
        <v>0.44999999999999996</v>
      </c>
      <c r="Q975" s="16">
        <f>O975 * $S$4</f>
        <v>0.6</v>
      </c>
    </row>
    <row r="976" spans="1:17">
      <c r="A976" s="2">
        <v>975</v>
      </c>
      <c r="B976" s="4">
        <f t="shared" si="75"/>
        <v>30</v>
      </c>
      <c r="C976" s="4">
        <f t="shared" si="76"/>
        <v>3</v>
      </c>
      <c r="D976" s="4">
        <f t="shared" si="77"/>
        <v>2023</v>
      </c>
      <c r="E976" s="4" t="str">
        <f t="shared" si="78"/>
        <v>Thu</v>
      </c>
      <c r="F976" s="4" t="str">
        <f t="shared" si="79"/>
        <v>Mar</v>
      </c>
      <c r="G976" s="3">
        <v>45015</v>
      </c>
      <c r="H976" s="4" t="s">
        <v>1032</v>
      </c>
      <c r="I976" s="4" t="s">
        <v>3</v>
      </c>
      <c r="J976" s="4" t="str" cm="1">
        <f t="array" ref="J976">_xlfn.IFS(K976&gt;=50, "Senior", K976&gt;=30, "Adult", K976&lt;30,"Young Adult")</f>
        <v>Young Adult</v>
      </c>
      <c r="K976" s="4">
        <v>19</v>
      </c>
      <c r="L976" s="4" t="s">
        <v>7</v>
      </c>
      <c r="M976" s="4">
        <v>4</v>
      </c>
      <c r="N976" s="22">
        <v>50</v>
      </c>
      <c r="O976" s="24">
        <f>M976 * N976</f>
        <v>200</v>
      </c>
      <c r="P976" s="16">
        <f>O976 * $S$3</f>
        <v>3</v>
      </c>
      <c r="Q976" s="16">
        <f>O976 * $S$4</f>
        <v>4</v>
      </c>
    </row>
    <row r="977" spans="1:17">
      <c r="A977" s="2">
        <v>976</v>
      </c>
      <c r="B977" s="4">
        <f t="shared" si="75"/>
        <v>10</v>
      </c>
      <c r="C977" s="4">
        <f t="shared" si="76"/>
        <v>10</v>
      </c>
      <c r="D977" s="4">
        <f t="shared" si="77"/>
        <v>2023</v>
      </c>
      <c r="E977" s="4" t="str">
        <f t="shared" si="78"/>
        <v>Tue</v>
      </c>
      <c r="F977" s="4" t="str">
        <f t="shared" si="79"/>
        <v>Oct</v>
      </c>
      <c r="G977" s="3">
        <v>45209</v>
      </c>
      <c r="H977" s="4" t="s">
        <v>33</v>
      </c>
      <c r="I977" s="4" t="s">
        <v>3</v>
      </c>
      <c r="J977" s="4" t="str" cm="1">
        <f t="array" ref="J977">_xlfn.IFS(K977&gt;=50, "Senior", K977&gt;=30, "Adult", K977&lt;30,"Young Adult")</f>
        <v>Young Adult</v>
      </c>
      <c r="K977" s="4">
        <v>19</v>
      </c>
      <c r="L977" s="4" t="s">
        <v>6</v>
      </c>
      <c r="M977" s="4">
        <v>2</v>
      </c>
      <c r="N977" s="22">
        <v>300</v>
      </c>
      <c r="O977" s="24">
        <f>M977 * N977</f>
        <v>600</v>
      </c>
      <c r="P977" s="16">
        <f>O977 * $S$3</f>
        <v>9</v>
      </c>
      <c r="Q977" s="16">
        <f>O977 * $S$4</f>
        <v>12</v>
      </c>
    </row>
    <row r="978" spans="1:17">
      <c r="A978" s="2">
        <v>977</v>
      </c>
      <c r="B978" s="4">
        <f t="shared" si="75"/>
        <v>8</v>
      </c>
      <c r="C978" s="4">
        <f t="shared" si="76"/>
        <v>2</v>
      </c>
      <c r="D978" s="4">
        <f t="shared" si="77"/>
        <v>2023</v>
      </c>
      <c r="E978" s="4" t="str">
        <f t="shared" si="78"/>
        <v>Wed</v>
      </c>
      <c r="F978" s="4" t="str">
        <f t="shared" si="79"/>
        <v>Feb</v>
      </c>
      <c r="G978" s="3">
        <v>44965</v>
      </c>
      <c r="H978" s="4" t="s">
        <v>1033</v>
      </c>
      <c r="I978" s="4" t="s">
        <v>3</v>
      </c>
      <c r="J978" s="4" t="str" cm="1">
        <f t="array" ref="J978">_xlfn.IFS(K978&gt;=50, "Senior", K978&gt;=30, "Adult", K978&lt;30,"Young Adult")</f>
        <v>Young Adult</v>
      </c>
      <c r="K978" s="4">
        <v>19</v>
      </c>
      <c r="L978" s="4" t="s">
        <v>8</v>
      </c>
      <c r="M978" s="4">
        <v>3</v>
      </c>
      <c r="N978" s="22">
        <v>25</v>
      </c>
      <c r="O978" s="24">
        <f>M978 * N978</f>
        <v>75</v>
      </c>
      <c r="P978" s="16">
        <f>O978 * $S$3</f>
        <v>1.125</v>
      </c>
      <c r="Q978" s="16">
        <f>O978 * $S$4</f>
        <v>1.5</v>
      </c>
    </row>
    <row r="979" spans="1:17">
      <c r="A979" s="2">
        <v>978</v>
      </c>
      <c r="B979" s="4">
        <f t="shared" si="75"/>
        <v>22</v>
      </c>
      <c r="C979" s="4">
        <f t="shared" si="76"/>
        <v>3</v>
      </c>
      <c r="D979" s="4">
        <f t="shared" si="77"/>
        <v>2023</v>
      </c>
      <c r="E979" s="4" t="str">
        <f t="shared" si="78"/>
        <v>Wed</v>
      </c>
      <c r="F979" s="4" t="str">
        <f t="shared" si="79"/>
        <v>Mar</v>
      </c>
      <c r="G979" s="3">
        <v>45007</v>
      </c>
      <c r="H979" s="4" t="s">
        <v>1034</v>
      </c>
      <c r="I979" s="4" t="s">
        <v>3</v>
      </c>
      <c r="J979" s="4" t="str" cm="1">
        <f t="array" ref="J979">_xlfn.IFS(K979&gt;=50, "Senior", K979&gt;=30, "Adult", K979&lt;30,"Young Adult")</f>
        <v>Young Adult</v>
      </c>
      <c r="K979" s="4">
        <v>19</v>
      </c>
      <c r="L979" s="4" t="s">
        <v>7</v>
      </c>
      <c r="M979" s="4">
        <v>3</v>
      </c>
      <c r="N979" s="22">
        <v>50</v>
      </c>
      <c r="O979" s="24">
        <f>M979 * N979</f>
        <v>150</v>
      </c>
      <c r="P979" s="16">
        <f>O979 * $S$3</f>
        <v>2.25</v>
      </c>
      <c r="Q979" s="16">
        <f>O979 * $S$4</f>
        <v>3</v>
      </c>
    </row>
    <row r="980" spans="1:17">
      <c r="A980" s="2">
        <v>979</v>
      </c>
      <c r="B980" s="4">
        <f t="shared" si="75"/>
        <v>2</v>
      </c>
      <c r="C980" s="4">
        <f t="shared" si="76"/>
        <v>1</v>
      </c>
      <c r="D980" s="4">
        <f t="shared" si="77"/>
        <v>2023</v>
      </c>
      <c r="E980" s="4" t="str">
        <f t="shared" si="78"/>
        <v>Mon</v>
      </c>
      <c r="F980" s="4" t="str">
        <f t="shared" si="79"/>
        <v>Jan</v>
      </c>
      <c r="G980" s="3">
        <v>44928</v>
      </c>
      <c r="H980" s="4" t="s">
        <v>1035</v>
      </c>
      <c r="I980" s="4" t="s">
        <v>3</v>
      </c>
      <c r="J980" s="4" t="str" cm="1">
        <f t="array" ref="J980">_xlfn.IFS(K980&gt;=50, "Senior", K980&gt;=30, "Adult", K980&lt;30,"Young Adult")</f>
        <v>Young Adult</v>
      </c>
      <c r="K980" s="4">
        <v>19</v>
      </c>
      <c r="L980" s="4" t="s">
        <v>6</v>
      </c>
      <c r="M980" s="4">
        <v>1</v>
      </c>
      <c r="N980" s="22">
        <v>25</v>
      </c>
      <c r="O980" s="24">
        <f>M980 * N980</f>
        <v>25</v>
      </c>
      <c r="P980" s="16">
        <f>O980 * $S$3</f>
        <v>0.375</v>
      </c>
      <c r="Q980" s="16">
        <f>O980 * $S$4</f>
        <v>0.5</v>
      </c>
    </row>
    <row r="981" spans="1:17">
      <c r="A981" s="2">
        <v>980</v>
      </c>
      <c r="B981" s="4">
        <f t="shared" si="75"/>
        <v>29</v>
      </c>
      <c r="C981" s="4">
        <f t="shared" si="76"/>
        <v>7</v>
      </c>
      <c r="D981" s="4">
        <f t="shared" si="77"/>
        <v>2023</v>
      </c>
      <c r="E981" s="4" t="str">
        <f t="shared" si="78"/>
        <v>Sat</v>
      </c>
      <c r="F981" s="4" t="str">
        <f t="shared" si="79"/>
        <v>Jul</v>
      </c>
      <c r="G981" s="3">
        <v>45136</v>
      </c>
      <c r="H981" s="4" t="s">
        <v>1036</v>
      </c>
      <c r="I981" s="4" t="s">
        <v>3</v>
      </c>
      <c r="J981" s="4" t="str" cm="1">
        <f t="array" ref="J981">_xlfn.IFS(K981&gt;=50, "Senior", K981&gt;=30, "Adult", K981&lt;30,"Young Adult")</f>
        <v>Young Adult</v>
      </c>
      <c r="K981" s="4">
        <v>18</v>
      </c>
      <c r="L981" s="4" t="s">
        <v>8</v>
      </c>
      <c r="M981" s="4">
        <v>3</v>
      </c>
      <c r="N981" s="22">
        <v>25</v>
      </c>
      <c r="O981" s="24">
        <f>M981 * N981</f>
        <v>75</v>
      </c>
      <c r="P981" s="16">
        <f>O981 * $S$3</f>
        <v>1.125</v>
      </c>
      <c r="Q981" s="16">
        <f>O981 * $S$4</f>
        <v>1.5</v>
      </c>
    </row>
    <row r="982" spans="1:17">
      <c r="A982" s="2">
        <v>981</v>
      </c>
      <c r="B982" s="4">
        <f t="shared" si="75"/>
        <v>19</v>
      </c>
      <c r="C982" s="4">
        <f t="shared" si="76"/>
        <v>8</v>
      </c>
      <c r="D982" s="4">
        <f t="shared" si="77"/>
        <v>2023</v>
      </c>
      <c r="E982" s="4" t="str">
        <f t="shared" si="78"/>
        <v>Sat</v>
      </c>
      <c r="F982" s="4" t="str">
        <f t="shared" si="79"/>
        <v>Aug</v>
      </c>
      <c r="G982" s="3">
        <v>45157</v>
      </c>
      <c r="H982" s="4" t="s">
        <v>1037</v>
      </c>
      <c r="I982" s="4" t="s">
        <v>3</v>
      </c>
      <c r="J982" s="4" t="str" cm="1">
        <f t="array" ref="J982">_xlfn.IFS(K982&gt;=50, "Senior", K982&gt;=30, "Adult", K982&lt;30,"Young Adult")</f>
        <v>Young Adult</v>
      </c>
      <c r="K982" s="4">
        <v>18</v>
      </c>
      <c r="L982" s="4" t="s">
        <v>8</v>
      </c>
      <c r="M982" s="4">
        <v>2</v>
      </c>
      <c r="N982" s="22">
        <v>30</v>
      </c>
      <c r="O982" s="24">
        <f>M982 * N982</f>
        <v>60</v>
      </c>
      <c r="P982" s="16">
        <f>O982 * $S$3</f>
        <v>0.89999999999999991</v>
      </c>
      <c r="Q982" s="16">
        <f>O982 * $S$4</f>
        <v>1.2</v>
      </c>
    </row>
    <row r="983" spans="1:17">
      <c r="A983" s="2">
        <v>982</v>
      </c>
      <c r="B983" s="4">
        <f t="shared" si="75"/>
        <v>19</v>
      </c>
      <c r="C983" s="4">
        <f t="shared" si="76"/>
        <v>12</v>
      </c>
      <c r="D983" s="4">
        <f t="shared" si="77"/>
        <v>2023</v>
      </c>
      <c r="E983" s="4" t="str">
        <f t="shared" si="78"/>
        <v>Tue</v>
      </c>
      <c r="F983" s="4" t="str">
        <f t="shared" si="79"/>
        <v>Dec</v>
      </c>
      <c r="G983" s="3">
        <v>45279</v>
      </c>
      <c r="H983" s="4" t="s">
        <v>31</v>
      </c>
      <c r="I983" s="4" t="s">
        <v>3</v>
      </c>
      <c r="J983" s="4" t="str" cm="1">
        <f t="array" ref="J983">_xlfn.IFS(K983&gt;=50, "Senior", K983&gt;=30, "Adult", K983&lt;30,"Young Adult")</f>
        <v>Young Adult</v>
      </c>
      <c r="K983" s="4">
        <v>18</v>
      </c>
      <c r="L983" s="4" t="s">
        <v>6</v>
      </c>
      <c r="M983" s="4">
        <v>3</v>
      </c>
      <c r="N983" s="22">
        <v>30</v>
      </c>
      <c r="O983" s="24">
        <f>M983 * N983</f>
        <v>90</v>
      </c>
      <c r="P983" s="16">
        <f>O983 * $S$3</f>
        <v>1.3499999999999999</v>
      </c>
      <c r="Q983" s="16">
        <f>O983 * $S$4</f>
        <v>1.8</v>
      </c>
    </row>
    <row r="984" spans="1:17">
      <c r="A984" s="2">
        <v>983</v>
      </c>
      <c r="B984" s="4">
        <f t="shared" si="75"/>
        <v>1</v>
      </c>
      <c r="C984" s="4">
        <f t="shared" si="76"/>
        <v>11</v>
      </c>
      <c r="D984" s="4">
        <f t="shared" si="77"/>
        <v>2023</v>
      </c>
      <c r="E984" s="4" t="str">
        <f t="shared" si="78"/>
        <v>Wed</v>
      </c>
      <c r="F984" s="4" t="str">
        <f t="shared" si="79"/>
        <v>Nov</v>
      </c>
      <c r="G984" s="3">
        <v>45231</v>
      </c>
      <c r="H984" s="4" t="s">
        <v>1038</v>
      </c>
      <c r="I984" s="4" t="s">
        <v>3</v>
      </c>
      <c r="J984" s="4" t="str" cm="1">
        <f t="array" ref="J984">_xlfn.IFS(K984&gt;=50, "Senior", K984&gt;=30, "Adult", K984&lt;30,"Young Adult")</f>
        <v>Young Adult</v>
      </c>
      <c r="K984" s="4">
        <v>18</v>
      </c>
      <c r="L984" s="4" t="s">
        <v>7</v>
      </c>
      <c r="M984" s="4">
        <v>1</v>
      </c>
      <c r="N984" s="22">
        <v>300</v>
      </c>
      <c r="O984" s="24">
        <f>M984 * N984</f>
        <v>300</v>
      </c>
      <c r="P984" s="16">
        <f>O984 * $S$3</f>
        <v>4.5</v>
      </c>
      <c r="Q984" s="16">
        <f>O984 * $S$4</f>
        <v>6</v>
      </c>
    </row>
    <row r="985" spans="1:17">
      <c r="A985" s="2">
        <v>984</v>
      </c>
      <c r="B985" s="4">
        <f t="shared" si="75"/>
        <v>29</v>
      </c>
      <c r="C985" s="4">
        <f t="shared" si="76"/>
        <v>8</v>
      </c>
      <c r="D985" s="4">
        <f t="shared" si="77"/>
        <v>2023</v>
      </c>
      <c r="E985" s="4" t="str">
        <f t="shared" si="78"/>
        <v>Tue</v>
      </c>
      <c r="F985" s="4" t="str">
        <f t="shared" si="79"/>
        <v>Aug</v>
      </c>
      <c r="G985" s="3">
        <v>45167</v>
      </c>
      <c r="H985" s="4" t="s">
        <v>1039</v>
      </c>
      <c r="I985" s="4" t="s">
        <v>4</v>
      </c>
      <c r="J985" s="4" t="str" cm="1">
        <f t="array" ref="J985">_xlfn.IFS(K985&gt;=50, "Senior", K985&gt;=30, "Adult", K985&lt;30,"Young Adult")</f>
        <v>Young Adult</v>
      </c>
      <c r="K985" s="4">
        <v>18</v>
      </c>
      <c r="L985" s="4" t="s">
        <v>7</v>
      </c>
      <c r="M985" s="4">
        <v>1</v>
      </c>
      <c r="N985" s="22">
        <v>500</v>
      </c>
      <c r="O985" s="24">
        <f>M985 * N985</f>
        <v>500</v>
      </c>
      <c r="P985" s="16">
        <f>O985 * $S$3</f>
        <v>7.5</v>
      </c>
      <c r="Q985" s="16">
        <f>O985 * $S$4</f>
        <v>10</v>
      </c>
    </row>
    <row r="986" spans="1:17">
      <c r="A986" s="2">
        <v>985</v>
      </c>
      <c r="B986" s="4">
        <f t="shared" si="75"/>
        <v>30</v>
      </c>
      <c r="C986" s="4">
        <f t="shared" si="76"/>
        <v>5</v>
      </c>
      <c r="D986" s="4">
        <f t="shared" si="77"/>
        <v>2023</v>
      </c>
      <c r="E986" s="4" t="str">
        <f t="shared" si="78"/>
        <v>Tue</v>
      </c>
      <c r="F986" s="4" t="str">
        <f t="shared" si="79"/>
        <v>May</v>
      </c>
      <c r="G986" s="3">
        <v>45076</v>
      </c>
      <c r="H986" s="4" t="s">
        <v>1040</v>
      </c>
      <c r="I986" s="4" t="s">
        <v>3</v>
      </c>
      <c r="J986" s="4" t="str" cm="1">
        <f t="array" ref="J986">_xlfn.IFS(K986&gt;=50, "Senior", K986&gt;=30, "Adult", K986&lt;30,"Young Adult")</f>
        <v>Young Adult</v>
      </c>
      <c r="K986" s="4">
        <v>18</v>
      </c>
      <c r="L986" s="4" t="s">
        <v>8</v>
      </c>
      <c r="M986" s="4">
        <v>2</v>
      </c>
      <c r="N986" s="22">
        <v>25</v>
      </c>
      <c r="O986" s="24">
        <f>M986 * N986</f>
        <v>50</v>
      </c>
      <c r="P986" s="16">
        <f>O986 * $S$3</f>
        <v>0.75</v>
      </c>
      <c r="Q986" s="16">
        <f>O986 * $S$4</f>
        <v>1</v>
      </c>
    </row>
    <row r="987" spans="1:17">
      <c r="A987" s="2">
        <v>986</v>
      </c>
      <c r="B987" s="4">
        <f t="shared" si="75"/>
        <v>17</v>
      </c>
      <c r="C987" s="4">
        <f t="shared" si="76"/>
        <v>1</v>
      </c>
      <c r="D987" s="4">
        <f t="shared" si="77"/>
        <v>2023</v>
      </c>
      <c r="E987" s="4" t="str">
        <f t="shared" si="78"/>
        <v>Tue</v>
      </c>
      <c r="F987" s="4" t="str">
        <f t="shared" si="79"/>
        <v>Jan</v>
      </c>
      <c r="G987" s="3">
        <v>44943</v>
      </c>
      <c r="H987" s="4" t="s">
        <v>179</v>
      </c>
      <c r="I987" s="4" t="s">
        <v>3</v>
      </c>
      <c r="J987" s="4" t="str" cm="1">
        <f t="array" ref="J987">_xlfn.IFS(K987&gt;=50, "Senior", K987&gt;=30, "Adult", K987&lt;30,"Young Adult")</f>
        <v>Young Adult</v>
      </c>
      <c r="K987" s="4">
        <v>18</v>
      </c>
      <c r="L987" s="4" t="s">
        <v>7</v>
      </c>
      <c r="M987" s="4">
        <v>2</v>
      </c>
      <c r="N987" s="22">
        <v>500</v>
      </c>
      <c r="O987" s="24">
        <f>M987 * N987</f>
        <v>1000</v>
      </c>
      <c r="P987" s="16">
        <f>O987 * $S$3</f>
        <v>15</v>
      </c>
      <c r="Q987" s="16">
        <f>O987 * $S$4</f>
        <v>20</v>
      </c>
    </row>
    <row r="988" spans="1:17">
      <c r="A988" s="2">
        <v>987</v>
      </c>
      <c r="B988" s="4">
        <f t="shared" si="75"/>
        <v>29</v>
      </c>
      <c r="C988" s="4">
        <f t="shared" si="76"/>
        <v>4</v>
      </c>
      <c r="D988" s="4">
        <f t="shared" si="77"/>
        <v>2023</v>
      </c>
      <c r="E988" s="4" t="str">
        <f t="shared" si="78"/>
        <v>Sat</v>
      </c>
      <c r="F988" s="4" t="str">
        <f t="shared" si="79"/>
        <v>Apr</v>
      </c>
      <c r="G988" s="3">
        <v>45045</v>
      </c>
      <c r="H988" s="4" t="s">
        <v>177</v>
      </c>
      <c r="I988" s="4" t="s">
        <v>3</v>
      </c>
      <c r="J988" s="4" t="str" cm="1">
        <f t="array" ref="J988">_xlfn.IFS(K988&gt;=50, "Senior", K988&gt;=30, "Adult", K988&lt;30,"Young Adult")</f>
        <v>Young Adult</v>
      </c>
      <c r="K988" s="4">
        <v>18</v>
      </c>
      <c r="L988" s="4" t="s">
        <v>7</v>
      </c>
      <c r="M988" s="4">
        <v>3</v>
      </c>
      <c r="N988" s="22">
        <v>300</v>
      </c>
      <c r="O988" s="24">
        <f>M988 * N988</f>
        <v>900</v>
      </c>
      <c r="P988" s="16">
        <f>O988 * $S$3</f>
        <v>13.5</v>
      </c>
      <c r="Q988" s="16">
        <f>O988 * $S$4</f>
        <v>18</v>
      </c>
    </row>
    <row r="989" spans="1:17">
      <c r="A989" s="2">
        <v>988</v>
      </c>
      <c r="B989" s="4">
        <f t="shared" si="75"/>
        <v>28</v>
      </c>
      <c r="C989" s="4">
        <f t="shared" si="76"/>
        <v>5</v>
      </c>
      <c r="D989" s="4">
        <f t="shared" si="77"/>
        <v>2023</v>
      </c>
      <c r="E989" s="4" t="str">
        <f t="shared" si="78"/>
        <v>Sun</v>
      </c>
      <c r="F989" s="4" t="str">
        <f t="shared" si="79"/>
        <v>May</v>
      </c>
      <c r="G989" s="3">
        <v>45074</v>
      </c>
      <c r="H989" s="4" t="s">
        <v>1041</v>
      </c>
      <c r="I989" s="4" t="s">
        <v>3</v>
      </c>
      <c r="J989" s="4" t="str" cm="1">
        <f t="array" ref="J989">_xlfn.IFS(K989&gt;=50, "Senior", K989&gt;=30, "Adult", K989&lt;30,"Young Adult")</f>
        <v>Young Adult</v>
      </c>
      <c r="K989" s="4">
        <v>18</v>
      </c>
      <c r="L989" s="4" t="s">
        <v>7</v>
      </c>
      <c r="M989" s="4">
        <v>3</v>
      </c>
      <c r="N989" s="22">
        <v>25</v>
      </c>
      <c r="O989" s="24">
        <f>M989 * N989</f>
        <v>75</v>
      </c>
      <c r="P989" s="16">
        <f>O989 * $S$3</f>
        <v>1.125</v>
      </c>
      <c r="Q989" s="16">
        <f>O989 * $S$4</f>
        <v>1.5</v>
      </c>
    </row>
    <row r="990" spans="1:17">
      <c r="A990" s="2">
        <v>989</v>
      </c>
      <c r="B990" s="4">
        <f t="shared" si="75"/>
        <v>28</v>
      </c>
      <c r="C990" s="4">
        <f t="shared" si="76"/>
        <v>12</v>
      </c>
      <c r="D990" s="4">
        <f t="shared" si="77"/>
        <v>2023</v>
      </c>
      <c r="E990" s="4" t="str">
        <f t="shared" si="78"/>
        <v>Thu</v>
      </c>
      <c r="F990" s="4" t="str">
        <f t="shared" si="79"/>
        <v>Dec</v>
      </c>
      <c r="G990" s="3">
        <v>45288</v>
      </c>
      <c r="H990" s="4" t="s">
        <v>1042</v>
      </c>
      <c r="I990" s="4" t="s">
        <v>3</v>
      </c>
      <c r="J990" s="4" t="str" cm="1">
        <f t="array" ref="J990">_xlfn.IFS(K990&gt;=50, "Senior", K990&gt;=30, "Adult", K990&lt;30,"Young Adult")</f>
        <v>Young Adult</v>
      </c>
      <c r="K990" s="4">
        <v>18</v>
      </c>
      <c r="L990" s="4" t="s">
        <v>8</v>
      </c>
      <c r="M990" s="4">
        <v>1</v>
      </c>
      <c r="N990" s="22">
        <v>25</v>
      </c>
      <c r="O990" s="24">
        <f>M990 * N990</f>
        <v>25</v>
      </c>
      <c r="P990" s="16">
        <f>O990 * $S$3</f>
        <v>0.375</v>
      </c>
      <c r="Q990" s="16">
        <f>O990 * $S$4</f>
        <v>0.5</v>
      </c>
    </row>
    <row r="991" spans="1:17">
      <c r="A991" s="2">
        <v>990</v>
      </c>
      <c r="B991" s="4">
        <f t="shared" si="75"/>
        <v>25</v>
      </c>
      <c r="C991" s="4">
        <f t="shared" si="76"/>
        <v>5</v>
      </c>
      <c r="D991" s="4">
        <f t="shared" si="77"/>
        <v>2023</v>
      </c>
      <c r="E991" s="4" t="str">
        <f t="shared" si="78"/>
        <v>Thu</v>
      </c>
      <c r="F991" s="4" t="str">
        <f t="shared" si="79"/>
        <v>May</v>
      </c>
      <c r="G991" s="3">
        <v>45071</v>
      </c>
      <c r="H991" s="4" t="s">
        <v>1043</v>
      </c>
      <c r="I991" s="4" t="s">
        <v>3</v>
      </c>
      <c r="J991" s="4" t="str" cm="1">
        <f t="array" ref="J991">_xlfn.IFS(K991&gt;=50, "Senior", K991&gt;=30, "Adult", K991&lt;30,"Young Adult")</f>
        <v>Young Adult</v>
      </c>
      <c r="K991" s="4">
        <v>18</v>
      </c>
      <c r="L991" s="4" t="s">
        <v>6</v>
      </c>
      <c r="M991" s="4">
        <v>2</v>
      </c>
      <c r="N991" s="22">
        <v>500</v>
      </c>
      <c r="O991" s="24">
        <f>M991 * N991</f>
        <v>1000</v>
      </c>
      <c r="P991" s="16">
        <f>O991 * $S$3</f>
        <v>15</v>
      </c>
      <c r="Q991" s="16">
        <f>O991 * $S$4</f>
        <v>20</v>
      </c>
    </row>
    <row r="992" spans="1:17">
      <c r="A992" s="2">
        <v>991</v>
      </c>
      <c r="B992" s="4">
        <f t="shared" si="75"/>
        <v>26</v>
      </c>
      <c r="C992" s="4">
        <f t="shared" si="76"/>
        <v>12</v>
      </c>
      <c r="D992" s="4">
        <f t="shared" si="77"/>
        <v>2023</v>
      </c>
      <c r="E992" s="4" t="str">
        <f t="shared" si="78"/>
        <v>Tue</v>
      </c>
      <c r="F992" s="4" t="str">
        <f t="shared" si="79"/>
        <v>Dec</v>
      </c>
      <c r="G992" s="3">
        <v>45286</v>
      </c>
      <c r="H992" s="4" t="s">
        <v>176</v>
      </c>
      <c r="I992" s="4" t="s">
        <v>3</v>
      </c>
      <c r="J992" s="4" t="str" cm="1">
        <f t="array" ref="J992">_xlfn.IFS(K992&gt;=50, "Senior", K992&gt;=30, "Adult", K992&lt;30,"Young Adult")</f>
        <v>Young Adult</v>
      </c>
      <c r="K992" s="4">
        <v>18</v>
      </c>
      <c r="L992" s="4" t="s">
        <v>7</v>
      </c>
      <c r="M992" s="4">
        <v>2</v>
      </c>
      <c r="N992" s="22">
        <v>50</v>
      </c>
      <c r="O992" s="24">
        <f>M992 * N992</f>
        <v>100</v>
      </c>
      <c r="P992" s="16">
        <f>O992 * $S$3</f>
        <v>1.5</v>
      </c>
      <c r="Q992" s="16">
        <f>O992 * $S$4</f>
        <v>2</v>
      </c>
    </row>
    <row r="993" spans="1:17">
      <c r="A993" s="2">
        <v>992</v>
      </c>
      <c r="B993" s="4">
        <f t="shared" si="75"/>
        <v>21</v>
      </c>
      <c r="C993" s="4">
        <f t="shared" si="76"/>
        <v>8</v>
      </c>
      <c r="D993" s="4">
        <f t="shared" si="77"/>
        <v>2023</v>
      </c>
      <c r="E993" s="4" t="str">
        <f t="shared" si="78"/>
        <v>Mon</v>
      </c>
      <c r="F993" s="4" t="str">
        <f t="shared" si="79"/>
        <v>Aug</v>
      </c>
      <c r="G993" s="3">
        <v>45159</v>
      </c>
      <c r="H993" s="4" t="s">
        <v>1044</v>
      </c>
      <c r="I993" s="4" t="s">
        <v>3</v>
      </c>
      <c r="J993" s="4" t="str" cm="1">
        <f t="array" ref="J993">_xlfn.IFS(K993&gt;=50, "Senior", K993&gt;=30, "Adult", K993&lt;30,"Young Adult")</f>
        <v>Young Adult</v>
      </c>
      <c r="K993" s="4">
        <v>18</v>
      </c>
      <c r="L993" s="4" t="s">
        <v>8</v>
      </c>
      <c r="M993" s="4">
        <v>2</v>
      </c>
      <c r="N993" s="22">
        <v>30</v>
      </c>
      <c r="O993" s="24">
        <f>M993 * N993</f>
        <v>60</v>
      </c>
      <c r="P993" s="16">
        <f>O993 * $S$3</f>
        <v>0.89999999999999991</v>
      </c>
      <c r="Q993" s="16">
        <f>O993 * $S$4</f>
        <v>1.2</v>
      </c>
    </row>
    <row r="994" spans="1:17">
      <c r="A994" s="2">
        <v>993</v>
      </c>
      <c r="B994" s="4">
        <f t="shared" si="75"/>
        <v>6</v>
      </c>
      <c r="C994" s="4">
        <f t="shared" si="76"/>
        <v>2</v>
      </c>
      <c r="D994" s="4">
        <f t="shared" si="77"/>
        <v>2023</v>
      </c>
      <c r="E994" s="4" t="str">
        <f t="shared" si="78"/>
        <v>Mon</v>
      </c>
      <c r="F994" s="4" t="str">
        <f t="shared" si="79"/>
        <v>Feb</v>
      </c>
      <c r="G994" s="3">
        <v>44963</v>
      </c>
      <c r="H994" s="4" t="s">
        <v>1045</v>
      </c>
      <c r="I994" s="4" t="s">
        <v>3</v>
      </c>
      <c r="J994" s="4" t="str" cm="1">
        <f t="array" ref="J994">_xlfn.IFS(K994&gt;=50, "Senior", K994&gt;=30, "Adult", K994&lt;30,"Young Adult")</f>
        <v>Young Adult</v>
      </c>
      <c r="K994" s="4">
        <v>18</v>
      </c>
      <c r="L994" s="4" t="s">
        <v>8</v>
      </c>
      <c r="M994" s="4">
        <v>3</v>
      </c>
      <c r="N994" s="22">
        <v>50</v>
      </c>
      <c r="O994" s="24">
        <f>M994 * N994</f>
        <v>150</v>
      </c>
      <c r="P994" s="16">
        <f>O994 * $S$3</f>
        <v>2.25</v>
      </c>
      <c r="Q994" s="16">
        <f>O994 * $S$4</f>
        <v>3</v>
      </c>
    </row>
    <row r="995" spans="1:17">
      <c r="A995" s="2">
        <v>994</v>
      </c>
      <c r="B995" s="4">
        <f t="shared" si="75"/>
        <v>18</v>
      </c>
      <c r="C995" s="4">
        <f t="shared" si="76"/>
        <v>12</v>
      </c>
      <c r="D995" s="4">
        <f t="shared" si="77"/>
        <v>2023</v>
      </c>
      <c r="E995" s="4" t="str">
        <f t="shared" si="78"/>
        <v>Mon</v>
      </c>
      <c r="F995" s="4" t="str">
        <f t="shared" si="79"/>
        <v>Dec</v>
      </c>
      <c r="G995" s="3">
        <v>45278</v>
      </c>
      <c r="H995" s="4" t="s">
        <v>1046</v>
      </c>
      <c r="I995" s="4" t="s">
        <v>3</v>
      </c>
      <c r="J995" s="4" t="str" cm="1">
        <f t="array" ref="J995">_xlfn.IFS(K995&gt;=50, "Senior", K995&gt;=30, "Adult", K995&lt;30,"Young Adult")</f>
        <v>Young Adult</v>
      </c>
      <c r="K995" s="4">
        <v>18</v>
      </c>
      <c r="L995" s="4" t="s">
        <v>6</v>
      </c>
      <c r="M995" s="4">
        <v>2</v>
      </c>
      <c r="N995" s="22">
        <v>500</v>
      </c>
      <c r="O995" s="24">
        <f>M995 * N995</f>
        <v>1000</v>
      </c>
      <c r="P995" s="16">
        <f>O995 * $S$3</f>
        <v>15</v>
      </c>
      <c r="Q995" s="16">
        <f>O995 * $S$4</f>
        <v>20</v>
      </c>
    </row>
    <row r="996" spans="1:17">
      <c r="A996" s="2">
        <v>995</v>
      </c>
      <c r="B996" s="4">
        <f t="shared" si="75"/>
        <v>30</v>
      </c>
      <c r="C996" s="4">
        <f t="shared" si="76"/>
        <v>4</v>
      </c>
      <c r="D996" s="4">
        <f t="shared" si="77"/>
        <v>2023</v>
      </c>
      <c r="E996" s="4" t="str">
        <f t="shared" si="78"/>
        <v>Sun</v>
      </c>
      <c r="F996" s="4" t="str">
        <f t="shared" si="79"/>
        <v>Apr</v>
      </c>
      <c r="G996" s="3">
        <v>45046</v>
      </c>
      <c r="H996" s="4" t="s">
        <v>175</v>
      </c>
      <c r="I996" s="4" t="s">
        <v>3</v>
      </c>
      <c r="J996" s="4" t="str" cm="1">
        <f t="array" ref="J996">_xlfn.IFS(K996&gt;=50, "Senior", K996&gt;=30, "Adult", K996&lt;30,"Young Adult")</f>
        <v>Young Adult</v>
      </c>
      <c r="K996" s="4">
        <v>18</v>
      </c>
      <c r="L996" s="4" t="s">
        <v>7</v>
      </c>
      <c r="M996" s="4">
        <v>1</v>
      </c>
      <c r="N996" s="22">
        <v>30</v>
      </c>
      <c r="O996" s="24">
        <f>M996 * N996</f>
        <v>30</v>
      </c>
      <c r="P996" s="16">
        <f>O996 * $S$3</f>
        <v>0.44999999999999996</v>
      </c>
      <c r="Q996" s="16">
        <f>O996 * $S$4</f>
        <v>0.6</v>
      </c>
    </row>
    <row r="997" spans="1:17">
      <c r="A997" s="2">
        <v>996</v>
      </c>
      <c r="B997" s="4">
        <f t="shared" si="75"/>
        <v>16</v>
      </c>
      <c r="C997" s="4">
        <f t="shared" si="76"/>
        <v>5</v>
      </c>
      <c r="D997" s="4">
        <f t="shared" si="77"/>
        <v>2023</v>
      </c>
      <c r="E997" s="4" t="str">
        <f t="shared" si="78"/>
        <v>Tue</v>
      </c>
      <c r="F997" s="4" t="str">
        <f t="shared" si="79"/>
        <v>May</v>
      </c>
      <c r="G997" s="3">
        <v>45062</v>
      </c>
      <c r="H997" s="4" t="s">
        <v>1047</v>
      </c>
      <c r="I997" s="4" t="s">
        <v>4</v>
      </c>
      <c r="J997" s="4" t="str" cm="1">
        <f t="array" ref="J997">_xlfn.IFS(K997&gt;=50, "Senior", K997&gt;=30, "Adult", K997&lt;30,"Young Adult")</f>
        <v>Young Adult</v>
      </c>
      <c r="K997" s="4">
        <v>18</v>
      </c>
      <c r="L997" s="4" t="s">
        <v>7</v>
      </c>
      <c r="M997" s="4">
        <v>1</v>
      </c>
      <c r="N997" s="22">
        <v>50</v>
      </c>
      <c r="O997" s="24">
        <f>M997 * N997</f>
        <v>50</v>
      </c>
      <c r="P997" s="16">
        <f>O997 * $S$3</f>
        <v>0.75</v>
      </c>
      <c r="Q997" s="16">
        <f>O997 * $S$4</f>
        <v>1</v>
      </c>
    </row>
    <row r="998" spans="1:17">
      <c r="A998" s="2">
        <v>997</v>
      </c>
      <c r="B998" s="4">
        <f t="shared" si="75"/>
        <v>17</v>
      </c>
      <c r="C998" s="4">
        <f t="shared" si="76"/>
        <v>11</v>
      </c>
      <c r="D998" s="4">
        <f t="shared" si="77"/>
        <v>2023</v>
      </c>
      <c r="E998" s="4" t="str">
        <f t="shared" si="78"/>
        <v>Fri</v>
      </c>
      <c r="F998" s="4" t="str">
        <f t="shared" si="79"/>
        <v>Nov</v>
      </c>
      <c r="G998" s="3">
        <v>45247</v>
      </c>
      <c r="H998" s="4" t="s">
        <v>1048</v>
      </c>
      <c r="I998" s="4" t="s">
        <v>4</v>
      </c>
      <c r="J998" s="4" t="str" cm="1">
        <f t="array" ref="J998">_xlfn.IFS(K998&gt;=50, "Senior", K998&gt;=30, "Adult", K998&lt;30,"Young Adult")</f>
        <v>Young Adult</v>
      </c>
      <c r="K998" s="4">
        <v>18</v>
      </c>
      <c r="L998" s="4" t="s">
        <v>6</v>
      </c>
      <c r="M998" s="4">
        <v>3</v>
      </c>
      <c r="N998" s="22">
        <v>30</v>
      </c>
      <c r="O998" s="24">
        <f>M998 * N998</f>
        <v>90</v>
      </c>
      <c r="P998" s="16">
        <f>O998 * $S$3</f>
        <v>1.3499999999999999</v>
      </c>
      <c r="Q998" s="16">
        <f>O998 * $S$4</f>
        <v>1.8</v>
      </c>
    </row>
    <row r="999" spans="1:17">
      <c r="A999" s="2">
        <v>998</v>
      </c>
      <c r="B999" s="4">
        <f t="shared" si="75"/>
        <v>29</v>
      </c>
      <c r="C999" s="4">
        <f t="shared" si="76"/>
        <v>10</v>
      </c>
      <c r="D999" s="4">
        <f t="shared" si="77"/>
        <v>2023</v>
      </c>
      <c r="E999" s="4" t="str">
        <f t="shared" si="78"/>
        <v>Sun</v>
      </c>
      <c r="F999" s="4" t="str">
        <f t="shared" si="79"/>
        <v>Oct</v>
      </c>
      <c r="G999" s="3">
        <v>45228</v>
      </c>
      <c r="H999" s="4" t="s">
        <v>1049</v>
      </c>
      <c r="I999" s="4" t="s">
        <v>3</v>
      </c>
      <c r="J999" s="4" t="str" cm="1">
        <f t="array" ref="J999">_xlfn.IFS(K999&gt;=50, "Senior", K999&gt;=30, "Adult", K999&lt;30,"Young Adult")</f>
        <v>Young Adult</v>
      </c>
      <c r="K999" s="4">
        <v>18</v>
      </c>
      <c r="L999" s="4" t="s">
        <v>6</v>
      </c>
      <c r="M999" s="4">
        <v>4</v>
      </c>
      <c r="N999" s="22">
        <v>25</v>
      </c>
      <c r="O999" s="24">
        <f>M999 * N999</f>
        <v>100</v>
      </c>
      <c r="P999" s="16">
        <f>O999 * $S$3</f>
        <v>1.5</v>
      </c>
      <c r="Q999" s="16">
        <f>O999 * $S$4</f>
        <v>2</v>
      </c>
    </row>
    <row r="1000" spans="1:17">
      <c r="A1000" s="2">
        <v>999</v>
      </c>
      <c r="B1000" s="4">
        <f t="shared" si="75"/>
        <v>5</v>
      </c>
      <c r="C1000" s="4">
        <f t="shared" si="76"/>
        <v>12</v>
      </c>
      <c r="D1000" s="4">
        <f t="shared" si="77"/>
        <v>2023</v>
      </c>
      <c r="E1000" s="4" t="str">
        <f t="shared" si="78"/>
        <v>Tue</v>
      </c>
      <c r="F1000" s="4" t="str">
        <f t="shared" si="79"/>
        <v>Dec</v>
      </c>
      <c r="G1000" s="3">
        <v>45265</v>
      </c>
      <c r="H1000" s="4" t="s">
        <v>1050</v>
      </c>
      <c r="I1000" s="4" t="s">
        <v>3</v>
      </c>
      <c r="J1000" s="4" t="str" cm="1">
        <f t="array" ref="J1000">_xlfn.IFS(K1000&gt;=50, "Senior", K1000&gt;=30, "Adult", K1000&lt;30,"Young Adult")</f>
        <v>Young Adult</v>
      </c>
      <c r="K1000" s="4">
        <v>18</v>
      </c>
      <c r="L1000" s="4" t="s">
        <v>8</v>
      </c>
      <c r="M1000" s="4">
        <v>3</v>
      </c>
      <c r="N1000" s="22">
        <v>50</v>
      </c>
      <c r="O1000" s="24">
        <f>M1000 * N1000</f>
        <v>150</v>
      </c>
      <c r="P1000" s="16">
        <f>O1000 * $S$3</f>
        <v>2.25</v>
      </c>
      <c r="Q1000" s="16">
        <f>O1000 * $S$4</f>
        <v>3</v>
      </c>
    </row>
    <row r="1001" spans="1:17">
      <c r="A1001" s="5">
        <v>1000</v>
      </c>
      <c r="B1001" s="4">
        <f t="shared" si="75"/>
        <v>12</v>
      </c>
      <c r="C1001" s="4">
        <f t="shared" si="76"/>
        <v>4</v>
      </c>
      <c r="D1001" s="4">
        <f t="shared" si="77"/>
        <v>2023</v>
      </c>
      <c r="E1001" s="4" t="str">
        <f t="shared" si="78"/>
        <v>Wed</v>
      </c>
      <c r="F1001" s="4" t="str">
        <f t="shared" si="79"/>
        <v>Apr</v>
      </c>
      <c r="G1001" s="6">
        <v>45028</v>
      </c>
      <c r="H1001" s="7" t="s">
        <v>1051</v>
      </c>
      <c r="I1001" s="7" t="s">
        <v>4</v>
      </c>
      <c r="J1001" s="4" t="str" cm="1">
        <f t="array" ref="J1001">_xlfn.IFS(K1001&gt;=50, "Senior", K1001&gt;=30, "Adult", K1001&lt;30,"Young Adult")</f>
        <v>Young Adult</v>
      </c>
      <c r="K1001" s="7">
        <v>18</v>
      </c>
      <c r="L1001" s="7" t="s">
        <v>8</v>
      </c>
      <c r="M1001" s="7">
        <v>4</v>
      </c>
      <c r="N1001" s="23">
        <v>30</v>
      </c>
      <c r="O1001" s="24">
        <f>M1001 * N1001</f>
        <v>120</v>
      </c>
      <c r="P1001" s="16">
        <f>O1001 * $S$3</f>
        <v>1.7999999999999998</v>
      </c>
      <c r="Q1001" s="16">
        <f>O1001 * $S$4</f>
        <v>2.4</v>
      </c>
    </row>
  </sheetData>
  <autoFilter ref="K1:K1001" xr:uid="{00000000-0001-0000-0000-000000000000}">
    <sortState xmlns:xlrd2="http://schemas.microsoft.com/office/spreadsheetml/2017/richdata2" ref="K2:K1001">
      <sortCondition descending="1" ref="K1:K100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0"/>
  <sheetViews>
    <sheetView workbookViewId="0">
      <selection activeCell="D1" sqref="D1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1" t="s">
        <v>10</v>
      </c>
      <c r="B1" s="1" t="s">
        <v>22</v>
      </c>
      <c r="C1" s="1" t="s">
        <v>1052</v>
      </c>
      <c r="D1" s="1" t="s">
        <v>1053</v>
      </c>
    </row>
    <row r="2" spans="1:4">
      <c r="A2">
        <v>10</v>
      </c>
      <c r="B2" cm="1">
        <f t="array" ref="B2">VLOOKUP(A2,retail_sales_dataset!A1:Q1001,COLUMN(retail_sales_dataset!O:O),FALSE)</f>
        <v>200</v>
      </c>
      <c r="C2" t="str" cm="1">
        <f t="array" ref="C2">VLOOKUP(A2,retail_sales_dataset!A1:Q1001,COLUMN(retail_sales_dataset!L:L),FALSE)</f>
        <v>Clothing</v>
      </c>
      <c r="D2" t="str">
        <f>_xlfn.CONCAT(B2, " ", C2)</f>
        <v>200 Clothing</v>
      </c>
    </row>
    <row r="3" spans="1:4">
      <c r="A3">
        <v>15</v>
      </c>
      <c r="B3" cm="1">
        <f t="array" ref="B3">VLOOKUP(A3,retail_sales_dataset!A2:Q1002,COLUMN(retail_sales_dataset!O:O),FALSE)</f>
        <v>2000</v>
      </c>
      <c r="C3" t="str" cm="1">
        <f t="array" ref="C3">VLOOKUP(A3,retail_sales_dataset!A2:Q1002,COLUMN(retail_sales_dataset!L:L),FALSE)</f>
        <v>Electronics</v>
      </c>
      <c r="D3" t="str">
        <f t="shared" ref="D3:D10" si="0">_xlfn.CONCAT(B3, " ", C3)</f>
        <v>2000 Electronics</v>
      </c>
    </row>
    <row r="4" spans="1:4">
      <c r="A4">
        <v>25</v>
      </c>
      <c r="B4" cm="1">
        <f t="array" ref="B4">VLOOKUP(A4,retail_sales_dataset!A3:Q1003,COLUMN(retail_sales_dataset!O:O),FALSE)</f>
        <v>50</v>
      </c>
      <c r="C4" t="str" cm="1">
        <f t="array" ref="C4">VLOOKUP(A4,retail_sales_dataset!A3:Q1003,COLUMN(retail_sales_dataset!L:L),FALSE)</f>
        <v>Beauty</v>
      </c>
      <c r="D4" t="str">
        <f t="shared" si="0"/>
        <v>50 Beauty</v>
      </c>
    </row>
    <row r="5" spans="1:4">
      <c r="A5">
        <v>30</v>
      </c>
      <c r="B5" cm="1">
        <f t="array" ref="B5">VLOOKUP(A5,retail_sales_dataset!A4:Q1004,COLUMN(retail_sales_dataset!O:O),FALSE)</f>
        <v>900</v>
      </c>
      <c r="C5" t="str" cm="1">
        <f t="array" ref="C5">VLOOKUP(A5,retail_sales_dataset!A4:Q1004,COLUMN(retail_sales_dataset!L:L),FALSE)</f>
        <v>Beauty</v>
      </c>
      <c r="D5" t="str">
        <f t="shared" si="0"/>
        <v>900 Beauty</v>
      </c>
    </row>
    <row r="6" spans="1:4">
      <c r="A6">
        <v>54</v>
      </c>
      <c r="B6" cm="1">
        <f t="array" ref="B6">VLOOKUP(A6,retail_sales_dataset!A5:Q1005,COLUMN(retail_sales_dataset!O:O),FALSE)</f>
        <v>1500</v>
      </c>
      <c r="C6" t="str" cm="1">
        <f t="array" ref="C6">VLOOKUP(A6,retail_sales_dataset!A5:Q1005,COLUMN(retail_sales_dataset!L:L),FALSE)</f>
        <v>Electronics</v>
      </c>
      <c r="D6" t="str">
        <f t="shared" si="0"/>
        <v>1500 Electronics</v>
      </c>
    </row>
    <row r="7" spans="1:4">
      <c r="A7">
        <v>55</v>
      </c>
      <c r="B7" cm="1">
        <f t="array" ref="B7">VLOOKUP(A7,retail_sales_dataset!A6:Q1006,COLUMN(retail_sales_dataset!O:O),FALSE)</f>
        <v>120</v>
      </c>
      <c r="C7" t="str" cm="1">
        <f t="array" ref="C7">VLOOKUP(A7,retail_sales_dataset!A6:Q1006,COLUMN(retail_sales_dataset!L:L),FALSE)</f>
        <v>Beauty</v>
      </c>
      <c r="D7" t="str">
        <f t="shared" si="0"/>
        <v>120 Beauty</v>
      </c>
    </row>
    <row r="8" spans="1:4">
      <c r="A8">
        <v>67</v>
      </c>
      <c r="B8" cm="1">
        <f t="array" ref="B8">VLOOKUP(A8,retail_sales_dataset!A7:Q1007,COLUMN(retail_sales_dataset!O:O),FALSE)</f>
        <v>1200</v>
      </c>
      <c r="C8" t="str" cm="1">
        <f t="array" ref="C8">VLOOKUP(A8,retail_sales_dataset!A7:Q1007,COLUMN(retail_sales_dataset!L:L),FALSE)</f>
        <v>Beauty</v>
      </c>
      <c r="D8" t="str">
        <f t="shared" si="0"/>
        <v>1200 Beauty</v>
      </c>
    </row>
    <row r="9" spans="1:4">
      <c r="A9">
        <v>89</v>
      </c>
      <c r="B9" cm="1">
        <f t="array" ref="B9">VLOOKUP(A9,retail_sales_dataset!A8:Q1008,COLUMN(retail_sales_dataset!O:O),FALSE)</f>
        <v>2000</v>
      </c>
      <c r="C9" t="str" cm="1">
        <f t="array" ref="C9">VLOOKUP(A9,retail_sales_dataset!A8:Q1008,COLUMN(retail_sales_dataset!L:L),FALSE)</f>
        <v>Electronics</v>
      </c>
      <c r="D9" t="str">
        <f t="shared" si="0"/>
        <v>2000 Electronics</v>
      </c>
    </row>
    <row r="10" spans="1:4">
      <c r="A10">
        <v>100</v>
      </c>
      <c r="B10" cm="1">
        <f t="array" ref="B10">VLOOKUP(A10,retail_sales_dataset!A9:Q1009,COLUMN(retail_sales_dataset!O:O),FALSE)</f>
        <v>30</v>
      </c>
      <c r="C10" t="str" cm="1">
        <f t="array" ref="C10">VLOOKUP(A10,retail_sales_dataset!A9:Q1009,COLUMN(retail_sales_dataset!L:L),FALSE)</f>
        <v>Electronics</v>
      </c>
      <c r="D10" t="str">
        <f t="shared" si="0"/>
        <v>30 Electronics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H6" sqref="H6"/>
    </sheetView>
  </sheetViews>
  <sheetFormatPr defaultRowHeight="15.75"/>
  <cols>
    <col min="1" max="1" width="14.5" customWidth="1"/>
    <col min="2" max="2" width="6.375" bestFit="1" customWidth="1"/>
    <col min="3" max="3" width="11" bestFit="1" customWidth="1"/>
    <col min="6" max="6" width="11.25" bestFit="1" customWidth="1"/>
  </cols>
  <sheetData>
    <row r="1" spans="1:6">
      <c r="A1" s="10" t="s">
        <v>1054</v>
      </c>
      <c r="B1" s="11" t="s">
        <v>1055</v>
      </c>
      <c r="C1" s="11" t="s">
        <v>1056</v>
      </c>
      <c r="D1" s="11" t="s">
        <v>1057</v>
      </c>
      <c r="E1" s="11" t="s">
        <v>1058</v>
      </c>
      <c r="F1" s="11" t="s">
        <v>1059</v>
      </c>
    </row>
    <row r="2" spans="1:6">
      <c r="A2" s="10" t="s">
        <v>1060</v>
      </c>
      <c r="B2" s="10">
        <v>75</v>
      </c>
      <c r="C2" s="10">
        <v>85</v>
      </c>
      <c r="D2" s="10">
        <v>85</v>
      </c>
      <c r="E2" s="20">
        <f>AVERAGE(B2:D2)</f>
        <v>81.666666666666671</v>
      </c>
      <c r="F2" s="10">
        <f>MAX(B2:D2)</f>
        <v>85</v>
      </c>
    </row>
    <row r="3" spans="1:6">
      <c r="A3" s="12" t="s">
        <v>1061</v>
      </c>
      <c r="B3" s="10">
        <v>65</v>
      </c>
      <c r="C3" s="10">
        <v>80</v>
      </c>
      <c r="D3" s="10">
        <v>70</v>
      </c>
      <c r="E3" s="20">
        <f t="shared" ref="E3:E11" si="0">AVERAGE(B3:D3)</f>
        <v>71.666666666666671</v>
      </c>
      <c r="F3" s="10">
        <f>MAX(B3:D3)</f>
        <v>80</v>
      </c>
    </row>
    <row r="4" spans="1:6">
      <c r="A4" s="10" t="s">
        <v>1062</v>
      </c>
      <c r="B4" s="10">
        <v>55</v>
      </c>
      <c r="C4" s="10">
        <v>80</v>
      </c>
      <c r="D4" s="10">
        <v>60</v>
      </c>
      <c r="E4" s="20">
        <f t="shared" si="0"/>
        <v>65</v>
      </c>
      <c r="F4" s="10">
        <f t="shared" ref="F4:F11" si="1">MAX(B4:D4)</f>
        <v>80</v>
      </c>
    </row>
    <row r="5" spans="1:6">
      <c r="A5" s="12" t="s">
        <v>1063</v>
      </c>
      <c r="B5" s="10">
        <v>85</v>
      </c>
      <c r="C5" s="10">
        <v>75</v>
      </c>
      <c r="D5" s="10">
        <v>80</v>
      </c>
      <c r="E5" s="20">
        <f t="shared" si="0"/>
        <v>80</v>
      </c>
      <c r="F5" s="10">
        <f t="shared" si="1"/>
        <v>85</v>
      </c>
    </row>
    <row r="6" spans="1:6">
      <c r="A6" s="12" t="s">
        <v>1064</v>
      </c>
      <c r="B6" s="10">
        <v>80</v>
      </c>
      <c r="C6" s="10">
        <v>75</v>
      </c>
      <c r="D6" s="10">
        <v>90</v>
      </c>
      <c r="E6" s="20">
        <f t="shared" si="0"/>
        <v>81.666666666666671</v>
      </c>
      <c r="F6" s="10">
        <f t="shared" si="1"/>
        <v>90</v>
      </c>
    </row>
    <row r="7" spans="1:6">
      <c r="A7" s="12" t="s">
        <v>1065</v>
      </c>
      <c r="B7" s="10">
        <v>80</v>
      </c>
      <c r="C7" s="10">
        <v>70</v>
      </c>
      <c r="D7" s="10">
        <v>80</v>
      </c>
      <c r="E7" s="20">
        <f t="shared" si="0"/>
        <v>76.666666666666671</v>
      </c>
      <c r="F7" s="10">
        <f t="shared" si="1"/>
        <v>80</v>
      </c>
    </row>
    <row r="8" spans="1:6">
      <c r="A8" s="10" t="s">
        <v>1066</v>
      </c>
      <c r="B8" s="10">
        <v>80</v>
      </c>
      <c r="C8" s="10">
        <v>70</v>
      </c>
      <c r="D8" s="10">
        <v>80</v>
      </c>
      <c r="E8" s="20">
        <f t="shared" si="0"/>
        <v>76.666666666666671</v>
      </c>
      <c r="F8" s="10">
        <f t="shared" si="1"/>
        <v>80</v>
      </c>
    </row>
    <row r="9" spans="1:6">
      <c r="A9" s="12" t="s">
        <v>1067</v>
      </c>
      <c r="B9" s="10">
        <v>55</v>
      </c>
      <c r="C9" s="10">
        <v>70</v>
      </c>
      <c r="D9" s="10">
        <v>65</v>
      </c>
      <c r="E9" s="20">
        <f t="shared" si="0"/>
        <v>63.333333333333336</v>
      </c>
      <c r="F9" s="10">
        <f t="shared" si="1"/>
        <v>70</v>
      </c>
    </row>
    <row r="10" spans="1:6">
      <c r="A10" s="12" t="s">
        <v>1068</v>
      </c>
      <c r="B10" s="10">
        <v>90</v>
      </c>
      <c r="C10" s="10">
        <v>50</v>
      </c>
      <c r="D10" s="10">
        <v>70</v>
      </c>
      <c r="E10" s="20">
        <f t="shared" si="0"/>
        <v>70</v>
      </c>
      <c r="F10" s="10">
        <f t="shared" si="1"/>
        <v>90</v>
      </c>
    </row>
    <row r="11" spans="1:6">
      <c r="A11" s="10" t="s">
        <v>1069</v>
      </c>
      <c r="B11" s="10">
        <v>55</v>
      </c>
      <c r="C11" s="10">
        <v>30</v>
      </c>
      <c r="D11" s="10">
        <v>65</v>
      </c>
      <c r="E11" s="20">
        <f t="shared" si="0"/>
        <v>50</v>
      </c>
      <c r="F11" s="10">
        <f t="shared" si="1"/>
        <v>65</v>
      </c>
    </row>
    <row r="14" spans="1:6">
      <c r="A14" t="s">
        <v>1070</v>
      </c>
    </row>
    <row r="15" spans="1:6">
      <c r="A15" t="s">
        <v>1071</v>
      </c>
    </row>
    <row r="16" spans="1:6">
      <c r="A16" t="s">
        <v>1072</v>
      </c>
    </row>
    <row r="17" spans="1:1">
      <c r="A17" t="s">
        <v>1073</v>
      </c>
    </row>
    <row r="18" spans="1:1">
      <c r="A18" t="s">
        <v>1074</v>
      </c>
    </row>
    <row r="19" spans="1:1">
      <c r="A19" t="s">
        <v>1075</v>
      </c>
    </row>
    <row r="20" spans="1:1">
      <c r="A20" t="s">
        <v>1076</v>
      </c>
    </row>
  </sheetData>
  <conditionalFormatting sqref="E2:E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D63B98ED13E4AA09F5BD2F3A51076" ma:contentTypeVersion="3" ma:contentTypeDescription="Create a new document." ma:contentTypeScope="" ma:versionID="33b6707e0726b82edbbfdd80f4954598">
  <xsd:schema xmlns:xsd="http://www.w3.org/2001/XMLSchema" xmlns:xs="http://www.w3.org/2001/XMLSchema" xmlns:p="http://schemas.microsoft.com/office/2006/metadata/properties" xmlns:ns2="53dfc049-f9cd-47de-9911-c50dc750c68a" targetNamespace="http://schemas.microsoft.com/office/2006/metadata/properties" ma:root="true" ma:fieldsID="5e4c21100d576d9bce5a7ded16a72801" ns2:_="">
    <xsd:import namespace="53dfc049-f9cd-47de-9911-c50dc750c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c049-f9cd-47de-9911-c50dc750c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B0863CD4-1E7A-4D88-A05C-62E37A52A464}"/>
</file>

<file path=customXml/itemProps2.xml><?xml version="1.0" encoding="utf-8"?>
<ds:datastoreItem xmlns:ds="http://schemas.openxmlformats.org/officeDocument/2006/customXml" ds:itemID="{DD9334D5-6C08-4A46-AD2C-FA9BF6D4670C}"/>
</file>

<file path=customXml/itemProps3.xml><?xml version="1.0" encoding="utf-8"?>
<ds:datastoreItem xmlns:ds="http://schemas.openxmlformats.org/officeDocument/2006/customXml" ds:itemID="{FE6DF61C-7ABD-44B9-B769-8F2899BB81F7}"/>
</file>

<file path=customXml/itemProps4.xml><?xml version="1.0" encoding="utf-8"?>
<ds:datastoreItem xmlns:ds="http://schemas.openxmlformats.org/officeDocument/2006/customXml" ds:itemID="{E2D36A1E-236C-4E19-9955-D6B07E5D30B7}"/>
</file>

<file path=customXml/itemProps5.xml><?xml version="1.0" encoding="utf-8"?>
<ds:datastoreItem xmlns:ds="http://schemas.openxmlformats.org/officeDocument/2006/customXml" ds:itemID="{19C66761-A138-4D29-95EB-4CF018C84C81}"/>
</file>

<file path=customXml/itemProps6.xml><?xml version="1.0" encoding="utf-8"?>
<ds:datastoreItem xmlns:ds="http://schemas.openxmlformats.org/officeDocument/2006/customXml" ds:itemID="{E643224C-1CC4-4A7F-A567-22ECFBDF619E}"/>
</file>

<file path=customXml/itemProps7.xml><?xml version="1.0" encoding="utf-8"?>
<ds:datastoreItem xmlns:ds="http://schemas.openxmlformats.org/officeDocument/2006/customXml" ds:itemID="{6A238311-EE1E-4F00-870C-F1577541CA78}"/>
</file>

<file path=customXml/itemProps8.xml><?xml version="1.0" encoding="utf-8"?>
<ds:datastoreItem xmlns:ds="http://schemas.openxmlformats.org/officeDocument/2006/customXml" ds:itemID="{09B95C5D-16BB-4BEF-B316-6D3A8C9DD811}"/>
</file>

<file path=customXml/itemProps9.xml><?xml version="1.0" encoding="utf-8"?>
<ds:datastoreItem xmlns:ds="http://schemas.openxmlformats.org/officeDocument/2006/customXml" ds:itemID="{A4B88D49-EA58-47E5-AA07-36D60BC9149C}"/>
</file>

<file path=customXml/itemProps10.xml><?xml version="1.0" encoding="utf-8"?>
<ds:datastoreItem xmlns:ds="http://schemas.openxmlformats.org/officeDocument/2006/customXml" ds:itemID="{A85E162B-7A50-4957-AE78-A5F153441C86}"/>
</file>

<file path=customXml/itemProps11.xml><?xml version="1.0" encoding="utf-8"?>
<ds:datastoreItem xmlns:ds="http://schemas.openxmlformats.org/officeDocument/2006/customXml" ds:itemID="{82F3FFA2-A909-498D-9BC6-33DF5B99923B}"/>
</file>

<file path=customXml/itemProps12.xml><?xml version="1.0" encoding="utf-8"?>
<ds:datastoreItem xmlns:ds="http://schemas.openxmlformats.org/officeDocument/2006/customXml" ds:itemID="{DCA8B30C-DBAC-45C5-A1A4-BC41D6221FF2}"/>
</file>

<file path=customXml/itemProps13.xml><?xml version="1.0" encoding="utf-8"?>
<ds:datastoreItem xmlns:ds="http://schemas.openxmlformats.org/officeDocument/2006/customXml" ds:itemID="{6DA07CEC-807D-4764-A388-A6BBED7640E0}"/>
</file>

<file path=customXml/itemProps14.xml><?xml version="1.0" encoding="utf-8"?>
<ds:datastoreItem xmlns:ds="http://schemas.openxmlformats.org/officeDocument/2006/customXml" ds:itemID="{15575EC4-E142-4B68-9BA1-7D9F83EA5067}"/>
</file>

<file path=customXml/itemProps15.xml><?xml version="1.0" encoding="utf-8"?>
<ds:datastoreItem xmlns:ds="http://schemas.openxmlformats.org/officeDocument/2006/customXml" ds:itemID="{3E8CB0BE-C4BA-4913-9C77-CD4B1441093A}"/>
</file>

<file path=customXml/itemProps16.xml><?xml version="1.0" encoding="utf-8"?>
<ds:datastoreItem xmlns:ds="http://schemas.openxmlformats.org/officeDocument/2006/customXml" ds:itemID="{B46F128A-B7FE-46C0-9B9B-600600B1B28E}"/>
</file>

<file path=customXml/itemProps17.xml><?xml version="1.0" encoding="utf-8"?>
<ds:datastoreItem xmlns:ds="http://schemas.openxmlformats.org/officeDocument/2006/customXml" ds:itemID="{06D295F5-8058-4546-A127-35DC9120150C}"/>
</file>

<file path=customXml/itemProps18.xml><?xml version="1.0" encoding="utf-8"?>
<ds:datastoreItem xmlns:ds="http://schemas.openxmlformats.org/officeDocument/2006/customXml" ds:itemID="{0ECF1352-6F0C-4E7B-8AFB-2EA761E69D98}"/>
</file>

<file path=customXml/itemProps19.xml><?xml version="1.0" encoding="utf-8"?>
<ds:datastoreItem xmlns:ds="http://schemas.openxmlformats.org/officeDocument/2006/customXml" ds:itemID="{8B7F014E-65B1-48DD-A1AF-A79E02398F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2025-11-18T10:48:32Z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0x010100669D63B98ED13E4AA09F5BD2F3A51076</vt:lpwstr>
  </property>
  <property fmtid="{D5CDD505-2E9C-101B-9397-08002B2CF9AE}" pid="3" name="Order">
    <vt:r8>700</vt:r8>
  </property>
</Properties>
</file>